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ece aqui" sheetId="1" state="visible" r:id="rId1"/>
    <sheet name="Premissas" sheetId="2" state="visible" r:id="rId2"/>
    <sheet name="DRE" sheetId="3" state="visible" r:id="rId3"/>
    <sheet name="Balanço" sheetId="4" state="visible" r:id="rId4"/>
    <sheet name="Fluxo de Caixa" sheetId="5" state="visible" r:id="rId5"/>
    <sheet name="Ligações" sheetId="6" state="visible" r:id="rId6"/>
    <sheet name="Checagem" sheetId="7" state="visible" r:id="rId7"/>
    <sheet name="Lucro x Caixa" sheetId="8" state="visible" r:id="rId8"/>
    <sheet name="Exercícios" sheetId="9" state="visible" r:id="rId9"/>
    <sheet name="Curso Fundamento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 &quot;dias&quot;"/>
  </numFmts>
  <fonts count="23">
    <font>
      <name val="Calibri"/>
      <family val="2"/>
      <color theme="1"/>
      <sz val="11"/>
      <scheme val="minor"/>
    </font>
    <font>
      <name val="Calibri"/>
      <b val="1"/>
      <color rgb="00070D24"/>
      <sz val="18"/>
    </font>
    <font>
      <name val="Calibri"/>
      <color rgb="00475569"/>
      <sz val="10"/>
    </font>
    <font>
      <name val="Calibri"/>
      <b val="1"/>
      <color rgb="00070D24"/>
      <sz val="12"/>
    </font>
    <font>
      <name val="Calibri"/>
      <color rgb="000F172A"/>
      <sz val="11"/>
    </font>
    <font>
      <name val="Calibri"/>
      <color rgb="001D4ED8"/>
      <sz val="11"/>
    </font>
    <font>
      <name val="Calibri"/>
      <b val="1"/>
      <color rgb="00FFFFFF"/>
      <sz val="11"/>
    </font>
    <font>
      <name val="Calibri"/>
      <color rgb="0015803D"/>
      <sz val="11"/>
    </font>
    <font>
      <name val="Calibri"/>
      <b val="1"/>
      <color rgb="00070D24"/>
      <sz val="11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D4ED8"/>
      <sz val="11"/>
    </font>
    <font>
      <name val="Calibri"/>
      <color rgb="00475569"/>
      <sz val="11"/>
    </font>
    <font>
      <name val="Calibri"/>
      <b val="1"/>
      <color rgb="000F172A"/>
      <sz val="11"/>
    </font>
    <font>
      <name val="Calibri"/>
      <b val="1"/>
      <color rgb="00070D24"/>
      <sz val="13"/>
    </font>
    <font>
      <name val="Calibri"/>
      <color rgb="001D4ED8"/>
      <sz val="13"/>
    </font>
    <font>
      <name val="Calibri"/>
      <color rgb="00000000"/>
      <sz val="13"/>
    </font>
    <font>
      <name val="Calibri"/>
      <color rgb="0015803D"/>
      <sz val="13"/>
    </font>
    <font>
      <name val="Calibri"/>
      <b val="1"/>
      <color rgb="00B45309"/>
      <sz val="12"/>
      <u val="single"/>
    </font>
    <font>
      <name val="Calibri"/>
      <color rgb="00B45309"/>
      <sz val="11"/>
      <u val="single"/>
    </font>
    <font>
      <name val="Calibri"/>
      <b val="1"/>
      <color rgb="0015803D"/>
      <sz val="11"/>
    </font>
    <font>
      <name val="Calibri"/>
      <b val="1"/>
      <color rgb="00070D24"/>
      <sz val="16"/>
    </font>
    <font>
      <name val="Calibri"/>
      <b val="1"/>
      <color rgb="000F172A"/>
      <sz val="13"/>
    </font>
  </fonts>
  <fills count="6">
    <fill>
      <patternFill/>
    </fill>
    <fill>
      <patternFill patternType="gray125"/>
    </fill>
    <fill>
      <patternFill patternType="solid">
        <fgColor rgb="00FFF7E0"/>
      </patternFill>
    </fill>
    <fill>
      <patternFill patternType="solid">
        <fgColor rgb="00070D24"/>
      </patternFill>
    </fill>
    <fill>
      <patternFill patternType="solid">
        <fgColor rgb="00F1F5F9"/>
      </patternFill>
    </fill>
    <fill>
      <patternFill patternType="solid">
        <fgColor rgb="00F59E0B"/>
      </patternFill>
    </fill>
  </fills>
  <borders count="4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top style="thin">
        <color rgb="00070D24"/>
      </top>
    </border>
    <border>
      <bottom style="thin">
        <color rgb="00D9DEE7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12" fillId="0" borderId="0" pivotButton="0" quotePrefix="0" xfId="0"/>
    <xf numFmtId="0" fontId="15" fillId="0" borderId="0" pivotButton="0" quotePrefix="0" xfId="0"/>
    <xf numFmtId="0" fontId="4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164" fontId="5" fillId="2" borderId="1" pivotButton="0" quotePrefix="0" xfId="0"/>
    <xf numFmtId="9" fontId="5" fillId="2" borderId="1" pivotButton="0" quotePrefix="0" xfId="0"/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164" fontId="7" fillId="0" borderId="0" pivotButton="0" quotePrefix="0" xfId="0"/>
    <xf numFmtId="0" fontId="8" fillId="4" borderId="2" pivotButton="0" quotePrefix="0" xfId="0"/>
    <xf numFmtId="164" fontId="9" fillId="4" borderId="2" pivotButton="0" quotePrefix="0" xfId="0"/>
    <xf numFmtId="164" fontId="10" fillId="0" borderId="0" pivotButton="0" quotePrefix="0" xfId="0"/>
    <xf numFmtId="164" fontId="9" fillId="0" borderId="0" pivotButton="0" quotePrefix="0" xfId="0"/>
    <xf numFmtId="0" fontId="11" fillId="2" borderId="1" applyAlignment="1" pivotButton="0" quotePrefix="0" xfId="0">
      <alignment horizontal="center"/>
    </xf>
    <xf numFmtId="0" fontId="6" fillId="3" borderId="0" applyAlignment="1" pivotButton="0" quotePrefix="0" xfId="0">
      <alignment horizontal="left"/>
    </xf>
    <xf numFmtId="0" fontId="12" fillId="0" borderId="3" applyAlignment="1" pivotButton="0" quotePrefix="0" xfId="0">
      <alignment vertical="center"/>
    </xf>
    <xf numFmtId="0" fontId="13" fillId="0" borderId="3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164" fontId="7" fillId="0" borderId="3" applyAlignment="1" pivotButton="0" quotePrefix="0" xfId="0">
      <alignment vertical="center"/>
    </xf>
    <xf numFmtId="164" fontId="10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center"/>
    </xf>
    <xf numFmtId="9" fontId="10" fillId="0" borderId="0" pivotButton="0" quotePrefix="0" xfId="0"/>
    <xf numFmtId="165" fontId="10" fillId="0" borderId="0" pivotButton="0" quotePrefix="0" xfId="0"/>
    <xf numFmtId="0" fontId="6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right" vertical="center" wrapText="1"/>
    </xf>
    <xf numFmtId="0" fontId="12" fillId="0" borderId="3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164" fontId="7" fillId="0" borderId="3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pivotButton="0" quotePrefix="0" xfId="0"/>
    <xf numFmtId="0" fontId="22" fillId="5" borderId="0" applyAlignment="1" pivotButton="0" quotePrefix="0" xfId="0">
      <alignment vertical="center" indent="1"/>
    </xf>
  </cellXfs>
  <cellStyles count="1">
    <cellStyle name="Normal" xfId="0" builtinId="0" hidden="0"/>
  </cellStyles>
  <dxfs count="2">
    <dxf>
      <font>
        <b val="1"/>
        <color rgb="0015803D"/>
      </font>
      <fill>
        <patternFill patternType="solid">
          <fgColor rgb="00DCFCE7"/>
          <bgColor rgb="00DCFCE7"/>
        </patternFill>
      </fill>
    </dxf>
    <dxf>
      <font>
        <b val="1"/>
        <color rgb="00B91C1C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Lucro líquido x Caixa das operações (R$ mil)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'Lucro x Caixa'!B6</f>
            </strRef>
          </tx>
          <spPr>
            <a:solidFill>
              <a:srgbClr val="070D24"/>
            </a:solidFill>
            <a:ln>
              <a:solidFill>
                <a:srgbClr val="070D24"/>
              </a:solidFill>
              <a:prstDash val="solid"/>
            </a:ln>
          </spPr>
          <cat>
            <numRef>
              <f>'Lucro x Caixa'!$D$5:$H$5</f>
            </numRef>
          </cat>
          <val>
            <numRef>
              <f>'Lucro x Caixa'!$D$6:$H$6</f>
            </numRef>
          </val>
        </ser>
        <ser>
          <idx val="1"/>
          <order val="1"/>
          <tx>
            <strRef>
              <f>'Lucro x Caixa'!B10</f>
            </strRef>
          </tx>
          <spPr>
            <a:solidFill>
              <a:srgbClr val="F59E0B"/>
            </a:solidFill>
            <a:ln>
              <a:solidFill>
                <a:srgbClr val="F59E0B"/>
              </a:solidFill>
              <a:prstDash val="solid"/>
            </a:ln>
          </spPr>
          <cat>
            <numRef>
              <f>'Lucro x Caixa'!$D$5:$H$5</f>
            </numRef>
          </cat>
          <val>
            <numRef>
              <f>'Lucro x Caixa'!$D$10:$H$10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fnapratica.com.br/fundamentos?utm_source=planilha-gratuita&amp;utm_medium=isca&amp;utm_campaign=modelo-integrado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fnapratica.com.br/fundamentos?utm_source=planilha-gratuita&amp;utm_medium=isca&amp;utm_campaign=modelo-integrado&amp;utm_content=aba-curso" TargetMode="External" Id="rId1" /><Relationship Type="http://schemas.openxmlformats.org/officeDocument/2006/relationships/hyperlink" Target="https://pay.hotmart.com/F106435738T?src=planilha-gratuita" TargetMode="External" Id="rId2" /></Relationships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>
      <c r="B2" s="1" t="inlineStr">
        <is>
          <t>Modelo integrado: DRE, Balanço e Fluxo de Caixa conectados</t>
        </is>
      </c>
    </row>
    <row r="3">
      <c r="B3" s="2" t="inlineStr">
        <is>
          <t>Saber montar cada demonstrativo separado é a parte fácil. Aqui você vê as 8 ligações que fazem os três virarem um modelo só, e fecharem.</t>
        </is>
      </c>
    </row>
    <row r="5">
      <c r="B5" s="3" t="inlineStr">
        <is>
          <t>Como usar</t>
        </is>
      </c>
    </row>
    <row r="6">
      <c r="B6" s="4" t="inlineStr">
        <is>
          <t>1</t>
        </is>
      </c>
      <c r="C6" s="5" t="inlineStr">
        <is>
          <t>Vá na aba Premissas e mude só as células azuis (receita, crescimento, custos, prazos...).</t>
        </is>
      </c>
    </row>
    <row r="7">
      <c r="B7" s="4" t="inlineStr">
        <is>
          <t>2</t>
        </is>
      </c>
      <c r="C7" s="5" t="inlineStr">
        <is>
          <t>Acompanhe a DRE, o Balanço e o Fluxo de Caixa. Nenhuma outra célula precisa ser digitada.</t>
        </is>
      </c>
    </row>
    <row r="8">
      <c r="B8" s="4" t="inlineStr">
        <is>
          <t>3</t>
        </is>
      </c>
      <c r="C8" s="5" t="inlineStr">
        <is>
          <t>Abra a aba Ligações: ela mostra de onde sai e onde chega cada número que conecta os demonstrativos.</t>
        </is>
      </c>
    </row>
    <row r="9">
      <c r="B9" s="4" t="inlineStr">
        <is>
          <t>4</t>
        </is>
      </c>
      <c r="C9" s="5" t="inlineStr">
        <is>
          <t>Faça os 5 experimentos da aba Exercícios e confira na aba Checagem que o modelo continua fechando.</t>
        </is>
      </c>
    </row>
    <row r="11">
      <c r="B11" s="3" t="inlineStr">
        <is>
          <t>As abas</t>
        </is>
      </c>
    </row>
    <row r="12">
      <c r="B12" s="6" t="inlineStr">
        <is>
          <t>•</t>
        </is>
      </c>
      <c r="C12" s="5" t="inlineStr">
        <is>
          <t>Premissas: Os únicos números digitados do modelo.</t>
        </is>
      </c>
    </row>
    <row r="13">
      <c r="B13" s="6" t="inlineStr">
        <is>
          <t>•</t>
        </is>
      </c>
      <c r="C13" s="5" t="inlineStr">
        <is>
          <t>DRE, Balanço, Fluxo de Caixa: Os três demonstrativos de 5 anos, ligados por fórmulas.</t>
        </is>
      </c>
    </row>
    <row r="14">
      <c r="B14" s="6" t="inlineStr">
        <is>
          <t>•</t>
        </is>
      </c>
      <c r="C14" s="5" t="inlineStr">
        <is>
          <t>Ligações: As 8 conexões entre os demonstrativos, conferidas ao vivo, com o porquê de cada uma.</t>
        </is>
      </c>
    </row>
    <row r="15">
      <c r="B15" s="6" t="inlineStr">
        <is>
          <t>•</t>
        </is>
      </c>
      <c r="C15" s="5" t="inlineStr">
        <is>
          <t>Checagem: Ativo = Passivo + PL, caixa e lucro conferidos em todos os anos.</t>
        </is>
      </c>
    </row>
    <row r="16">
      <c r="B16" s="6" t="inlineStr">
        <is>
          <t>•</t>
        </is>
      </c>
      <c r="C16" s="5" t="inlineStr">
        <is>
          <t>Lucro x Caixa: A ponte entre lucro e caixa, com gráfico e indicadores de prazo e margem.</t>
        </is>
      </c>
    </row>
    <row r="17">
      <c r="B17" s="6" t="inlineStr">
        <is>
          <t>•</t>
        </is>
      </c>
      <c r="C17" s="5" t="inlineStr">
        <is>
          <t>Exercícios: Cinco testes guiados, inclusive quebrar uma ligação de propósito.</t>
        </is>
      </c>
    </row>
    <row r="19">
      <c r="B19" s="3" t="inlineStr">
        <is>
          <t>Cores das células</t>
        </is>
      </c>
    </row>
    <row r="20">
      <c r="B20" s="7" t="inlineStr">
        <is>
          <t>■</t>
        </is>
      </c>
      <c r="C20" s="8" t="inlineStr">
        <is>
          <t>Azul: premissa. É o único lugar onde você digita.</t>
        </is>
      </c>
    </row>
    <row r="21">
      <c r="B21" s="9" t="inlineStr">
        <is>
          <t>■</t>
        </is>
      </c>
      <c r="C21" s="8" t="inlineStr">
        <is>
          <t>Preto: fórmula calculada na própria aba.</t>
        </is>
      </c>
    </row>
    <row r="22">
      <c r="B22" s="10" t="inlineStr">
        <is>
          <t>■</t>
        </is>
      </c>
      <c r="C22" s="8" t="inlineStr">
        <is>
          <t>Verde: número que vem de outra aba. É aqui que os demonstrativos se conectam.</t>
        </is>
      </c>
    </row>
    <row r="24">
      <c r="B24" s="3" t="inlineStr">
        <is>
          <t>O que este modelo deixa de fora, de propósito</t>
        </is>
      </c>
    </row>
    <row r="25">
      <c r="B25" s="6" t="inlineStr">
        <is>
          <t>•</t>
        </is>
      </c>
      <c r="C25" s="5" t="inlineStr">
        <is>
          <t>Dívida e juros (e o efeito deles no caixa e no lucro)</t>
        </is>
      </c>
    </row>
    <row r="26">
      <c r="B26" s="6" t="inlineStr">
        <is>
          <t>•</t>
        </is>
      </c>
      <c r="C26" s="5" t="inlineStr">
        <is>
          <t>Dividendos e distribuição de lucro</t>
        </is>
      </c>
    </row>
    <row r="27">
      <c r="B27" s="6" t="inlineStr">
        <is>
          <t>•</t>
        </is>
      </c>
      <c r="C27" s="5" t="inlineStr">
        <is>
          <t>Estoques e o ciclo de caixa completo</t>
        </is>
      </c>
    </row>
    <row r="28">
      <c r="B28" s="6" t="inlineStr">
        <is>
          <t>•</t>
        </is>
      </c>
      <c r="C28" s="5" t="inlineStr">
        <is>
          <t>Cenários e análise de sensibilidade</t>
        </is>
      </c>
    </row>
    <row r="29">
      <c r="C29" s="5" t="inlineStr">
        <is>
          <t>No curso Fundamentos da Modelagem Financeira você monta o modelo do zero e adiciona cada uma dessas peças sem quebrar as ligações.</t>
        </is>
      </c>
    </row>
    <row r="31">
      <c r="C31" s="11" t="inlineStr">
        <is>
          <t>Conheça o curso Fundamentos da Modelagem Financeira →</t>
        </is>
      </c>
    </row>
    <row r="32">
      <c r="C32" s="12" t="inlineStr">
        <is>
          <t>Ou veja o que o curso inclui na aba Curso Fundamentos →</t>
        </is>
      </c>
    </row>
    <row r="34">
      <c r="C34" s="13" t="inlineStr">
        <is>
          <t>Valores em R$ mil. Empresa-exemplo de 5 anos, sem dívida, para focar na ligação entre os demonstrativos.</t>
        </is>
      </c>
    </row>
    <row r="35">
      <c r="C35" s="13" t="inlineStr">
        <is>
          <t>Modelagem Financeira na Prática · mfnapratica.com.br</t>
        </is>
      </c>
    </row>
  </sheetData>
  <hyperlinks>
    <hyperlink xmlns:r="http://schemas.openxmlformats.org/officeDocument/2006/relationships" ref="C31" r:id="rId1"/>
    <hyperlink ref="C32" location="'Curso Fundamentos'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46" customWidth="1" min="4" max="4"/>
  </cols>
  <sheetData>
    <row r="2">
      <c r="B2" s="1" t="inlineStr">
        <is>
          <t>Premissas</t>
        </is>
      </c>
    </row>
    <row r="3">
      <c r="B3" s="2" t="inlineStr">
        <is>
          <t>Mude só as células azuis. Valores em R$ mil.</t>
        </is>
      </c>
    </row>
    <row r="6">
      <c r="B6" s="14" t="inlineStr">
        <is>
          <t>Operação</t>
        </is>
      </c>
    </row>
    <row r="7">
      <c r="B7" s="8" t="inlineStr">
        <is>
          <t>Receita no ano 1</t>
        </is>
      </c>
      <c r="C7" s="15" t="n">
        <v>1000</v>
      </c>
      <c r="D7" s="2" t="inlineStr">
        <is>
          <t>Faturamento líquido do primeiro ano</t>
        </is>
      </c>
    </row>
    <row r="8">
      <c r="B8" s="8" t="inlineStr">
        <is>
          <t>Crescimento da receita por ano</t>
        </is>
      </c>
      <c r="C8" s="16" t="n">
        <v>0.1</v>
      </c>
      <c r="D8" s="2" t="inlineStr">
        <is>
          <t>Aplicado do ano 2 ao ano 5</t>
        </is>
      </c>
    </row>
    <row r="9">
      <c r="B9" s="8" t="inlineStr">
        <is>
          <t>Custos (% da receita)</t>
        </is>
      </c>
      <c r="C9" s="16" t="n">
        <v>0.6</v>
      </c>
      <c r="D9" s="2" t="inlineStr">
        <is>
          <t>Custo dos produtos ou serviços vendidos</t>
        </is>
      </c>
    </row>
    <row r="10">
      <c r="B10" s="8" t="inlineStr">
        <is>
          <t>Despesas (% da receita)</t>
        </is>
      </c>
      <c r="C10" s="16" t="n">
        <v>0.2</v>
      </c>
      <c r="D10" s="2" t="inlineStr">
        <is>
          <t>Vendas, gerais e administrativas</t>
        </is>
      </c>
    </row>
    <row r="11">
      <c r="B11" s="8" t="inlineStr">
        <is>
          <t>Depreciação por ano</t>
        </is>
      </c>
      <c r="C11" s="15" t="n">
        <v>50</v>
      </c>
      <c r="D11" s="2" t="inlineStr">
        <is>
          <t>Reduz o lucro, mas não sai do caixa</t>
        </is>
      </c>
    </row>
    <row r="12">
      <c r="B12" s="8" t="inlineStr">
        <is>
          <t>Investimento por ano (capex)</t>
        </is>
      </c>
      <c r="C12" s="15" t="n">
        <v>60</v>
      </c>
      <c r="D12" s="2" t="inlineStr">
        <is>
          <t>Compra de máquinas e equipamentos. Não passa pela DRE</t>
        </is>
      </c>
    </row>
    <row r="13">
      <c r="B13" s="8" t="inlineStr">
        <is>
          <t>Alíquota de IR</t>
        </is>
      </c>
      <c r="C13" s="16" t="n">
        <v>0.3</v>
      </c>
      <c r="D13" s="2" t="inlineStr">
        <is>
          <t>Sobre o lucro antes do imposto</t>
        </is>
      </c>
    </row>
    <row r="15">
      <c r="B15" s="14" t="inlineStr">
        <is>
          <t>Capital de giro</t>
        </is>
      </c>
    </row>
    <row r="16">
      <c r="B16" s="8" t="inlineStr">
        <is>
          <t>Prazo de recebimento dos clientes (dias)</t>
        </is>
      </c>
      <c r="C16" s="15" t="n">
        <v>30</v>
      </c>
      <c r="D16" s="2" t="inlineStr">
        <is>
          <t>Vendas que ainda não viraram caixa</t>
        </is>
      </c>
    </row>
    <row r="17">
      <c r="B17" s="8" t="inlineStr">
        <is>
          <t>Prazo de pagamento aos fornecedores (dias)</t>
        </is>
      </c>
      <c r="C17" s="15" t="n">
        <v>30</v>
      </c>
      <c r="D17" s="2" t="inlineStr">
        <is>
          <t>Custos que ainda não saíram do caixa</t>
        </is>
      </c>
    </row>
    <row r="19">
      <c r="B19" s="14" t="inlineStr">
        <is>
          <t>Saldos iniciais (Balanço do ano 0)</t>
        </is>
      </c>
    </row>
    <row r="20">
      <c r="B20" s="8" t="inlineStr">
        <is>
          <t>Caixa</t>
        </is>
      </c>
      <c r="C20" s="15" t="n">
        <v>100</v>
      </c>
      <c r="D20" s="2" t="inlineStr"/>
    </row>
    <row r="21">
      <c r="B21" s="8" t="inlineStr">
        <is>
          <t>Imobilizado</t>
        </is>
      </c>
      <c r="C21" s="15" t="n">
        <v>500</v>
      </c>
      <c r="D21" s="2" t="inlineStr"/>
    </row>
    <row r="22">
      <c r="B22" s="8" t="inlineStr">
        <is>
          <t>Patrimônio líquido</t>
        </is>
      </c>
      <c r="C22" s="15" t="n">
        <v>600</v>
      </c>
      <c r="D22" s="2" t="inlineStr">
        <is>
          <t>Ativo = Passivo + PL já no ano 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70D24"/>
    <outlinePr summaryBelow="1" summaryRight="1"/>
    <pageSetUpPr/>
  </sheetPr>
  <dimension ref="B2:H1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DRE (Demonstração do Resultado)</t>
        </is>
      </c>
    </row>
    <row r="3">
      <c r="B3" s="2" t="inlineStr">
        <is>
          <t>R$ mil. O lucro líquido vai para o Patrimônio líquido (Balanço) e para o Fluxo de Caixa.</t>
        </is>
      </c>
    </row>
    <row r="5">
      <c r="B5" s="17" t="n"/>
      <c r="C5" s="18" t="inlineStr">
        <is>
          <t>Ano 0</t>
        </is>
      </c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Receita líquida</t>
        </is>
      </c>
      <c r="D6" s="19">
        <f>Premissas!$C$7</f>
        <v/>
      </c>
      <c r="E6" s="19">
        <f>D6*(1+Premissas!$C$8)</f>
        <v/>
      </c>
      <c r="F6" s="19">
        <f>E6*(1+Premissas!$C$8)</f>
        <v/>
      </c>
      <c r="G6" s="19">
        <f>F6*(1+Premissas!$C$8)</f>
        <v/>
      </c>
      <c r="H6" s="19">
        <f>G6*(1+Premissas!$C$8)</f>
        <v/>
      </c>
    </row>
    <row r="7">
      <c r="B7" s="8" t="inlineStr">
        <is>
          <t>(−) Custos</t>
        </is>
      </c>
      <c r="D7" s="19">
        <f>-D6*Premissas!$C$9</f>
        <v/>
      </c>
      <c r="E7" s="19">
        <f>-E6*Premissas!$C$9</f>
        <v/>
      </c>
      <c r="F7" s="19">
        <f>-F6*Premissas!$C$9</f>
        <v/>
      </c>
      <c r="G7" s="19">
        <f>-G6*Premissas!$C$9</f>
        <v/>
      </c>
      <c r="H7" s="19">
        <f>-H6*Premissas!$C$9</f>
        <v/>
      </c>
    </row>
    <row r="8">
      <c r="B8" s="20" t="inlineStr">
        <is>
          <t>Lucro bruto</t>
        </is>
      </c>
      <c r="D8" s="21">
        <f>D6+D7</f>
        <v/>
      </c>
      <c r="E8" s="21">
        <f>E6+E7</f>
        <v/>
      </c>
      <c r="F8" s="21">
        <f>F6+F7</f>
        <v/>
      </c>
      <c r="G8" s="21">
        <f>G6+G7</f>
        <v/>
      </c>
      <c r="H8" s="21">
        <f>H6+H7</f>
        <v/>
      </c>
    </row>
    <row r="9">
      <c r="B9" s="8" t="inlineStr">
        <is>
          <t>(−) Despesas</t>
        </is>
      </c>
      <c r="D9" s="19">
        <f>-D6*Premissas!$C$10</f>
        <v/>
      </c>
      <c r="E9" s="19">
        <f>-E6*Premissas!$C$10</f>
        <v/>
      </c>
      <c r="F9" s="19">
        <f>-F6*Premissas!$C$10</f>
        <v/>
      </c>
      <c r="G9" s="19">
        <f>-G6*Premissas!$C$10</f>
        <v/>
      </c>
      <c r="H9" s="19">
        <f>-H6*Premissas!$C$10</f>
        <v/>
      </c>
    </row>
    <row r="10">
      <c r="B10" s="20" t="inlineStr">
        <is>
          <t>EBITDA</t>
        </is>
      </c>
      <c r="D10" s="21">
        <f>D8+D9</f>
        <v/>
      </c>
      <c r="E10" s="21">
        <f>E8+E9</f>
        <v/>
      </c>
      <c r="F10" s="21">
        <f>F8+F9</f>
        <v/>
      </c>
      <c r="G10" s="21">
        <f>G8+G9</f>
        <v/>
      </c>
      <c r="H10" s="21">
        <f>H8+H9</f>
        <v/>
      </c>
    </row>
    <row r="11">
      <c r="B11" s="8" t="inlineStr">
        <is>
          <t>(−) Depreciação</t>
        </is>
      </c>
      <c r="D11" s="19">
        <f>-Premissas!$C$11</f>
        <v/>
      </c>
      <c r="E11" s="19">
        <f>-Premissas!$C$11</f>
        <v/>
      </c>
      <c r="F11" s="19">
        <f>-Premissas!$C$11</f>
        <v/>
      </c>
      <c r="G11" s="19">
        <f>-Premissas!$C$11</f>
        <v/>
      </c>
      <c r="H11" s="19">
        <f>-Premissas!$C$11</f>
        <v/>
      </c>
    </row>
    <row r="12">
      <c r="B12" s="20" t="inlineStr">
        <is>
          <t>EBIT (lucro operacional)</t>
        </is>
      </c>
      <c r="D12" s="21">
        <f>D10+D11</f>
        <v/>
      </c>
      <c r="E12" s="21">
        <f>E10+E11</f>
        <v/>
      </c>
      <c r="F12" s="21">
        <f>F10+F11</f>
        <v/>
      </c>
      <c r="G12" s="21">
        <f>G10+G11</f>
        <v/>
      </c>
      <c r="H12" s="21">
        <f>H10+H11</f>
        <v/>
      </c>
    </row>
    <row r="13">
      <c r="B13" s="8" t="inlineStr">
        <is>
          <t>(−) IR</t>
        </is>
      </c>
      <c r="D13" s="19">
        <f>-MAX(0,D12)*Premissas!$C$13</f>
        <v/>
      </c>
      <c r="E13" s="19">
        <f>-MAX(0,E12)*Premissas!$C$13</f>
        <v/>
      </c>
      <c r="F13" s="19">
        <f>-MAX(0,F12)*Premissas!$C$13</f>
        <v/>
      </c>
      <c r="G13" s="19">
        <f>-MAX(0,G12)*Premissas!$C$13</f>
        <v/>
      </c>
      <c r="H13" s="19">
        <f>-MAX(0,H12)*Premissas!$C$13</f>
        <v/>
      </c>
    </row>
    <row r="14">
      <c r="B14" s="20" t="inlineStr">
        <is>
          <t>Lucro líquido</t>
        </is>
      </c>
      <c r="D14" s="21">
        <f>D12+D13</f>
        <v/>
      </c>
      <c r="E14" s="21">
        <f>E12+E13</f>
        <v/>
      </c>
      <c r="F14" s="21">
        <f>F12+F13</f>
        <v/>
      </c>
      <c r="G14" s="21">
        <f>G12+G13</f>
        <v/>
      </c>
      <c r="H14" s="21">
        <f>H12+H13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70D24"/>
    <outlinePr summaryBelow="1" summaryRight="1"/>
    <pageSetUpPr/>
  </sheetPr>
  <dimension ref="B2:H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Balanço Patrimonial</t>
        </is>
      </c>
    </row>
    <row r="3">
      <c r="B3" s="2" t="inlineStr">
        <is>
          <t>R$ mil. O caixa vem do Fluxo de Caixa; o patrimônio soma o lucro da DRE.</t>
        </is>
      </c>
    </row>
    <row r="5">
      <c r="B5" s="17" t="inlineStr">
        <is>
          <t>Ativo</t>
        </is>
      </c>
      <c r="C5" s="18" t="inlineStr">
        <is>
          <t>Ano 0</t>
        </is>
      </c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Caixa</t>
        </is>
      </c>
      <c r="C6" s="19">
        <f>Premissas!$C$20</f>
        <v/>
      </c>
      <c r="D6" s="19">
        <f>'Fluxo de Caixa'!D14</f>
        <v/>
      </c>
      <c r="E6" s="19">
        <f>'Fluxo de Caixa'!E14</f>
        <v/>
      </c>
      <c r="F6" s="19">
        <f>'Fluxo de Caixa'!F14</f>
        <v/>
      </c>
      <c r="G6" s="19">
        <f>'Fluxo de Caixa'!G14</f>
        <v/>
      </c>
      <c r="H6" s="19">
        <f>'Fluxo de Caixa'!H14</f>
        <v/>
      </c>
    </row>
    <row r="7">
      <c r="B7" s="8" t="inlineStr">
        <is>
          <t>Contas a receber</t>
        </is>
      </c>
      <c r="C7" s="22" t="n">
        <v>0</v>
      </c>
      <c r="D7" s="22">
        <f>DRE!D6*Premissas!$C$16/360</f>
        <v/>
      </c>
      <c r="E7" s="22">
        <f>DRE!E6*Premissas!$C$16/360</f>
        <v/>
      </c>
      <c r="F7" s="22">
        <f>DRE!F6*Premissas!$C$16/360</f>
        <v/>
      </c>
      <c r="G7" s="22">
        <f>DRE!G6*Premissas!$C$16/360</f>
        <v/>
      </c>
      <c r="H7" s="22">
        <f>DRE!H6*Premissas!$C$16/360</f>
        <v/>
      </c>
    </row>
    <row r="8">
      <c r="B8" s="8" t="inlineStr">
        <is>
          <t>Imobilizado</t>
        </is>
      </c>
      <c r="C8" s="19">
        <f>Premissas!$C$21</f>
        <v/>
      </c>
      <c r="D8" s="22">
        <f>C8+Premissas!$C$12-Premissas!$C$11</f>
        <v/>
      </c>
      <c r="E8" s="22">
        <f>D8+Premissas!$C$12-Premissas!$C$11</f>
        <v/>
      </c>
      <c r="F8" s="22">
        <f>E8+Premissas!$C$12-Premissas!$C$11</f>
        <v/>
      </c>
      <c r="G8" s="22">
        <f>F8+Premissas!$C$12-Premissas!$C$11</f>
        <v/>
      </c>
      <c r="H8" s="22">
        <f>G8+Premissas!$C$12-Premissas!$C$11</f>
        <v/>
      </c>
    </row>
    <row r="9">
      <c r="B9" s="20" t="inlineStr">
        <is>
          <t>Ativo total</t>
        </is>
      </c>
      <c r="C9" s="21">
        <f>SUM(C6:C8)</f>
        <v/>
      </c>
      <c r="D9" s="21">
        <f>SUM(D6:D8)</f>
        <v/>
      </c>
      <c r="E9" s="21">
        <f>SUM(E6:E8)</f>
        <v/>
      </c>
      <c r="F9" s="21">
        <f>SUM(F6:F8)</f>
        <v/>
      </c>
      <c r="G9" s="21">
        <f>SUM(G6:G8)</f>
        <v/>
      </c>
      <c r="H9" s="21">
        <f>SUM(H6:H8)</f>
        <v/>
      </c>
    </row>
    <row r="11">
      <c r="B11" s="17" t="inlineStr">
        <is>
          <t>Passivo e patrimônio líquido</t>
        </is>
      </c>
      <c r="C11" s="18" t="inlineStr">
        <is>
          <t>Ano 0</t>
        </is>
      </c>
      <c r="D11" s="18" t="inlineStr">
        <is>
          <t>Ano 1</t>
        </is>
      </c>
      <c r="E11" s="18" t="inlineStr">
        <is>
          <t>Ano 2</t>
        </is>
      </c>
      <c r="F11" s="18" t="inlineStr">
        <is>
          <t>Ano 3</t>
        </is>
      </c>
      <c r="G11" s="18" t="inlineStr">
        <is>
          <t>Ano 4</t>
        </is>
      </c>
      <c r="H11" s="18" t="inlineStr">
        <is>
          <t>Ano 5</t>
        </is>
      </c>
    </row>
    <row r="12">
      <c r="B12" s="8" t="inlineStr">
        <is>
          <t>Fornecedores</t>
        </is>
      </c>
      <c r="C12" s="22" t="n">
        <v>0</v>
      </c>
      <c r="D12" s="22">
        <f>-DRE!D7*Premissas!$C$17/360</f>
        <v/>
      </c>
      <c r="E12" s="22">
        <f>-DRE!E7*Premissas!$C$17/360</f>
        <v/>
      </c>
      <c r="F12" s="22">
        <f>-DRE!F7*Premissas!$C$17/360</f>
        <v/>
      </c>
      <c r="G12" s="22">
        <f>-DRE!G7*Premissas!$C$17/360</f>
        <v/>
      </c>
      <c r="H12" s="22">
        <f>-DRE!H7*Premissas!$C$17/360</f>
        <v/>
      </c>
    </row>
    <row r="13">
      <c r="B13" s="8" t="inlineStr">
        <is>
          <t>Patrimônio líquido</t>
        </is>
      </c>
      <c r="C13" s="19">
        <f>Premissas!$C$22</f>
        <v/>
      </c>
      <c r="D13" s="19">
        <f>C13+DRE!D14</f>
        <v/>
      </c>
      <c r="E13" s="19">
        <f>D13+DRE!E14</f>
        <v/>
      </c>
      <c r="F13" s="19">
        <f>E13+DRE!F14</f>
        <v/>
      </c>
      <c r="G13" s="19">
        <f>F13+DRE!G14</f>
        <v/>
      </c>
      <c r="H13" s="19">
        <f>G13+DRE!H14</f>
        <v/>
      </c>
    </row>
    <row r="14">
      <c r="B14" s="20" t="inlineStr">
        <is>
          <t>Passivo + PL</t>
        </is>
      </c>
      <c r="C14" s="21">
        <f>C12+C13</f>
        <v/>
      </c>
      <c r="D14" s="21">
        <f>D12+D13</f>
        <v/>
      </c>
      <c r="E14" s="21">
        <f>E12+E13</f>
        <v/>
      </c>
      <c r="F14" s="21">
        <f>F12+F13</f>
        <v/>
      </c>
      <c r="G14" s="21">
        <f>G12+G13</f>
        <v/>
      </c>
      <c r="H14" s="21">
        <f>H12+H13</f>
        <v/>
      </c>
    </row>
    <row r="16">
      <c r="B16" s="4" t="inlineStr">
        <is>
          <t>Checagem: Ativo − (Passivo + PL)</t>
        </is>
      </c>
      <c r="C16" s="23">
        <f>ROUND(C9-C14,6)</f>
        <v/>
      </c>
      <c r="D16" s="23">
        <f>ROUND(D9-D14,6)</f>
        <v/>
      </c>
      <c r="E16" s="23">
        <f>ROUND(E9-E14,6)</f>
        <v/>
      </c>
      <c r="F16" s="23">
        <f>ROUND(F9-F14,6)</f>
        <v/>
      </c>
      <c r="G16" s="23">
        <f>ROUND(G9-G14,6)</f>
        <v/>
      </c>
      <c r="H16" s="23">
        <f>ROUND(H9-H14,6)</f>
        <v/>
      </c>
    </row>
    <row r="17">
      <c r="B17" s="2" t="inlineStr">
        <is>
          <t>Contas a receber e fornecedores começam em zero no ano 0 (empresa-exemplo começando a operar).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70D24"/>
    <outlinePr summaryBelow="1" summaryRight="1"/>
    <pageSetUpPr/>
  </sheetPr>
  <dimension ref="B2:H1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Fluxo de Caixa (método indireto)</t>
        </is>
      </c>
    </row>
    <row r="3">
      <c r="B3" s="2" t="inlineStr">
        <is>
          <t>R$ mil. Parte do lucro e explica por que o caixa não é igual ao lucro.</t>
        </is>
      </c>
    </row>
    <row r="5">
      <c r="B5" s="17" t="n"/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Lucro líquido</t>
        </is>
      </c>
      <c r="D6" s="19">
        <f>DRE!D14</f>
        <v/>
      </c>
      <c r="E6" s="19">
        <f>DRE!E14</f>
        <v/>
      </c>
      <c r="F6" s="19">
        <f>DRE!F14</f>
        <v/>
      </c>
      <c r="G6" s="19">
        <f>DRE!G14</f>
        <v/>
      </c>
      <c r="H6" s="19">
        <f>DRE!H14</f>
        <v/>
      </c>
    </row>
    <row r="7">
      <c r="B7" s="8" t="inlineStr">
        <is>
          <t>(+) Depreciação</t>
        </is>
      </c>
      <c r="D7" s="19">
        <f>-DRE!D11</f>
        <v/>
      </c>
      <c r="E7" s="19">
        <f>-DRE!E11</f>
        <v/>
      </c>
      <c r="F7" s="19">
        <f>-DRE!F11</f>
        <v/>
      </c>
      <c r="G7" s="19">
        <f>-DRE!G11</f>
        <v/>
      </c>
      <c r="H7" s="19">
        <f>-DRE!H11</f>
        <v/>
      </c>
    </row>
    <row r="8">
      <c r="B8" s="8" t="inlineStr">
        <is>
          <t>(−) Aumento de contas a receber</t>
        </is>
      </c>
      <c r="D8" s="22">
        <f>-(Balanço!D7-Balanço!C7)</f>
        <v/>
      </c>
      <c r="E8" s="22">
        <f>-(Balanço!E7-Balanço!D7)</f>
        <v/>
      </c>
      <c r="F8" s="22">
        <f>-(Balanço!F7-Balanço!E7)</f>
        <v/>
      </c>
      <c r="G8" s="22">
        <f>-(Balanço!G7-Balanço!F7)</f>
        <v/>
      </c>
      <c r="H8" s="22">
        <f>-(Balanço!H7-Balanço!G7)</f>
        <v/>
      </c>
    </row>
    <row r="9">
      <c r="B9" s="8" t="inlineStr">
        <is>
          <t>(+) Aumento de fornecedores</t>
        </is>
      </c>
      <c r="D9" s="22">
        <f>Balanço!D12-Balanço!C12</f>
        <v/>
      </c>
      <c r="E9" s="22">
        <f>Balanço!E12-Balanço!D12</f>
        <v/>
      </c>
      <c r="F9" s="22">
        <f>Balanço!F12-Balanço!E12</f>
        <v/>
      </c>
      <c r="G9" s="22">
        <f>Balanço!G12-Balanço!F12</f>
        <v/>
      </c>
      <c r="H9" s="22">
        <f>Balanço!H12-Balanço!G12</f>
        <v/>
      </c>
    </row>
    <row r="10">
      <c r="B10" s="20" t="inlineStr">
        <is>
          <t>Caixa das operações</t>
        </is>
      </c>
      <c r="D10" s="21">
        <f>SUM(D6:D9)</f>
        <v/>
      </c>
      <c r="E10" s="21">
        <f>SUM(E6:E9)</f>
        <v/>
      </c>
      <c r="F10" s="21">
        <f>SUM(F6:F9)</f>
        <v/>
      </c>
      <c r="G10" s="21">
        <f>SUM(G6:G9)</f>
        <v/>
      </c>
      <c r="H10" s="21">
        <f>SUM(H6:H9)</f>
        <v/>
      </c>
    </row>
    <row r="11">
      <c r="B11" s="8" t="inlineStr">
        <is>
          <t>(−) Investimentos (capex)</t>
        </is>
      </c>
      <c r="D11" s="19">
        <f>-Premissas!$C$12</f>
        <v/>
      </c>
      <c r="E11" s="19">
        <f>-Premissas!$C$12</f>
        <v/>
      </c>
      <c r="F11" s="19">
        <f>-Premissas!$C$12</f>
        <v/>
      </c>
      <c r="G11" s="19">
        <f>-Premissas!$C$12</f>
        <v/>
      </c>
      <c r="H11" s="19">
        <f>-Premissas!$C$12</f>
        <v/>
      </c>
    </row>
    <row r="12">
      <c r="B12" s="20" t="inlineStr">
        <is>
          <t>Variação do caixa</t>
        </is>
      </c>
      <c r="D12" s="21">
        <f>D10+D11</f>
        <v/>
      </c>
      <c r="E12" s="21">
        <f>E10+E11</f>
        <v/>
      </c>
      <c r="F12" s="21">
        <f>F10+F11</f>
        <v/>
      </c>
      <c r="G12" s="21">
        <f>G10+G11</f>
        <v/>
      </c>
      <c r="H12" s="21">
        <f>H10+H11</f>
        <v/>
      </c>
    </row>
    <row r="13">
      <c r="B13" s="8" t="inlineStr">
        <is>
          <t>Caixa inicial</t>
        </is>
      </c>
      <c r="D13" s="19">
        <f>Balanço!C6</f>
        <v/>
      </c>
      <c r="E13" s="19">
        <f>Balanço!D6</f>
        <v/>
      </c>
      <c r="F13" s="19">
        <f>Balanço!E6</f>
        <v/>
      </c>
      <c r="G13" s="19">
        <f>Balanço!F6</f>
        <v/>
      </c>
      <c r="H13" s="19">
        <f>Balanço!G6</f>
        <v/>
      </c>
    </row>
    <row r="14">
      <c r="B14" s="20" t="inlineStr">
        <is>
          <t>Caixa final</t>
        </is>
      </c>
      <c r="D14" s="21">
        <f>D13+D12</f>
        <v/>
      </c>
      <c r="E14" s="21">
        <f>E13+E12</f>
        <v/>
      </c>
      <c r="F14" s="21">
        <f>F13+F12</f>
        <v/>
      </c>
      <c r="G14" s="21">
        <f>G13+G12</f>
        <v/>
      </c>
      <c r="H14" s="21">
        <f>H13+H12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/>
  </sheetPr>
  <dimension ref="B2:J1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6" customWidth="1" min="3" max="3"/>
    <col width="26" customWidth="1" min="4" max="4"/>
    <col width="34" customWidth="1" min="5" max="5"/>
    <col width="12" customWidth="1" min="6" max="6"/>
    <col width="12" customWidth="1" min="7" max="7"/>
    <col width="11" customWidth="1" min="8" max="8"/>
    <col width="12" customWidth="1" min="9" max="9"/>
    <col width="58" customWidth="1" min="10" max="10"/>
  </cols>
  <sheetData>
    <row r="2">
      <c r="B2" s="1" t="inlineStr">
        <is>
          <t>Mapa das ligações</t>
        </is>
      </c>
    </row>
    <row r="3">
      <c r="B3" s="2" t="inlineStr">
        <is>
          <t>As 8 conexões que fazem os três demonstrativos virarem um modelo só. Cada uma é conferida ao vivo.</t>
        </is>
      </c>
    </row>
    <row r="5">
      <c r="B5" s="4" t="inlineStr">
        <is>
          <t>Ano para conferir</t>
        </is>
      </c>
      <c r="D5" s="24" t="n">
        <v>1</v>
      </c>
      <c r="E5" s="2" t="inlineStr">
        <is>
          <t>Digite de 1 a 5</t>
        </is>
      </c>
    </row>
    <row r="7">
      <c r="B7" s="25" t="inlineStr">
        <is>
          <t>#</t>
        </is>
      </c>
      <c r="C7" s="25" t="inlineStr">
        <is>
          <t>Ligação</t>
        </is>
      </c>
      <c r="D7" s="25" t="inlineStr">
        <is>
          <t>Sai de</t>
        </is>
      </c>
      <c r="E7" s="25" t="inlineStr">
        <is>
          <t>Chega em</t>
        </is>
      </c>
      <c r="F7" s="18" t="inlineStr">
        <is>
          <t>Na origem</t>
        </is>
      </c>
      <c r="G7" s="18" t="inlineStr">
        <is>
          <t>No destino</t>
        </is>
      </c>
      <c r="H7" s="18" t="inlineStr">
        <is>
          <t>Diferença</t>
        </is>
      </c>
      <c r="I7" s="18" t="inlineStr">
        <is>
          <t>Status</t>
        </is>
      </c>
      <c r="J7" s="25" t="inlineStr">
        <is>
          <t>Por que importa</t>
        </is>
      </c>
    </row>
    <row r="8" ht="30" customHeight="1">
      <c r="B8" s="26" t="n">
        <v>1</v>
      </c>
      <c r="C8" s="27" t="inlineStr">
        <is>
          <t>O lucro abre o Fluxo de Caixa</t>
        </is>
      </c>
      <c r="D8" s="28" t="inlineStr">
        <is>
          <t>DRE · Lucro líquido</t>
        </is>
      </c>
      <c r="E8" s="28" t="inlineStr">
        <is>
          <t>Fluxo de Caixa · Lucro líquido</t>
        </is>
      </c>
      <c r="F8" s="29">
        <f>INDEX(DRE!$D$14:$H$14,$D$5)</f>
        <v/>
      </c>
      <c r="G8" s="29">
        <f>INDEX('Fluxo de Caixa'!$D$6:$H$6,$D$5)</f>
        <v/>
      </c>
      <c r="H8" s="30">
        <f>ROUND(F8-G8,6)</f>
        <v/>
      </c>
      <c r="I8" s="31">
        <f>IF(ABS(H8)&lt;0.01,"Ligada","Quebrada")</f>
        <v/>
      </c>
      <c r="J8" s="28" t="inlineStr">
        <is>
          <t>O Fluxo de Caixa indireto começa no lucro e explica, linha a linha, por que o caixa é diferente.</t>
        </is>
      </c>
    </row>
    <row r="9" ht="30" customHeight="1">
      <c r="B9" s="26" t="n">
        <v>2</v>
      </c>
      <c r="C9" s="27" t="inlineStr">
        <is>
          <t>O lucro soma no patrimônio líquido</t>
        </is>
      </c>
      <c r="D9" s="28" t="inlineStr">
        <is>
          <t>DRE · Lucro líquido</t>
        </is>
      </c>
      <c r="E9" s="28" t="inlineStr">
        <is>
          <t>Balanço · aumento do PL</t>
        </is>
      </c>
      <c r="F9" s="29">
        <f>INDEX(DRE!$D$14:$H$14,$D$5)</f>
        <v/>
      </c>
      <c r="G9" s="29">
        <f>INDEX(Balanço!$D$13:$H$13,$D$5)-INDEX(Balanço!$C$13:$G$13,$D$5)</f>
        <v/>
      </c>
      <c r="H9" s="30">
        <f>ROUND(F9-G9,6)</f>
        <v/>
      </c>
      <c r="I9" s="31">
        <f>IF(ABS(H9)&lt;0.01,"Ligada","Quebrada")</f>
        <v/>
      </c>
      <c r="J9" s="28" t="inlineStr">
        <is>
          <t>Sem ela, o Balanço fica com uma diferença exatamente igual ao lucro do ano.</t>
        </is>
      </c>
    </row>
    <row r="10" ht="30" customHeight="1">
      <c r="B10" s="26" t="n">
        <v>3</v>
      </c>
      <c r="C10" s="27" t="inlineStr">
        <is>
          <t>A depreciação volta somando no caixa</t>
        </is>
      </c>
      <c r="D10" s="28" t="inlineStr">
        <is>
          <t>DRE · Depreciação</t>
        </is>
      </c>
      <c r="E10" s="28" t="inlineStr">
        <is>
          <t>Fluxo de Caixa · (+) Depreciação</t>
        </is>
      </c>
      <c r="F10" s="29">
        <f>-INDEX(DRE!$D$11:$H$11,$D$5)</f>
        <v/>
      </c>
      <c r="G10" s="29">
        <f>INDEX('Fluxo de Caixa'!$D$7:$H$7,$D$5)</f>
        <v/>
      </c>
      <c r="H10" s="30">
        <f>ROUND(F10-G10,6)</f>
        <v/>
      </c>
      <c r="I10" s="31">
        <f>IF(ABS(H10)&lt;0.01,"Ligada","Quebrada")</f>
        <v/>
      </c>
      <c r="J10" s="28" t="inlineStr">
        <is>
          <t>Ela reduz o lucro, mas não sai do banco. Por isso é somada de volta.</t>
        </is>
      </c>
    </row>
    <row r="11" ht="30" customHeight="1">
      <c r="B11" s="26" t="n">
        <v>4</v>
      </c>
      <c r="C11" s="27" t="inlineStr">
        <is>
          <t>A depreciação reduz o imobilizado</t>
        </is>
      </c>
      <c r="D11" s="28" t="inlineStr">
        <is>
          <t>DRE · Depreciação</t>
        </is>
      </c>
      <c r="E11" s="28" t="inlineStr">
        <is>
          <t>Balanço · Imobilizado</t>
        </is>
      </c>
      <c r="F11" s="29">
        <f>-INDEX(DRE!$D$11:$H$11,$D$5)</f>
        <v/>
      </c>
      <c r="G11" s="29">
        <f>INDEX(Balanço!$C$8:$G$8,$D$5)-INDEX('Fluxo de Caixa'!$D$11:$H$11,$D$5)-INDEX(Balanço!$D$8:$H$8,$D$5)</f>
        <v/>
      </c>
      <c r="H11" s="30">
        <f>ROUND(F11-G11,6)</f>
        <v/>
      </c>
      <c r="I11" s="31">
        <f>IF(ABS(H11)&lt;0.01,"Ligada","Quebrada")</f>
        <v/>
      </c>
      <c r="J11" s="28" t="inlineStr">
        <is>
          <t>O desgaste do ano sai do valor das máquinas no Balanço.</t>
        </is>
      </c>
    </row>
    <row r="12" ht="30" customHeight="1">
      <c r="B12" s="26" t="n">
        <v>5</v>
      </c>
      <c r="C12" s="27" t="inlineStr">
        <is>
          <t>O investimento aumenta o imobilizado</t>
        </is>
      </c>
      <c r="D12" s="28" t="inlineStr">
        <is>
          <t>Fluxo de Caixa · (−) Investimentos</t>
        </is>
      </c>
      <c r="E12" s="28" t="inlineStr">
        <is>
          <t>Balanço · Imobilizado</t>
        </is>
      </c>
      <c r="F12" s="29">
        <f>-INDEX('Fluxo de Caixa'!$D$11:$H$11,$D$5)</f>
        <v/>
      </c>
      <c r="G12" s="29">
        <f>INDEX(Balanço!$D$8:$H$8,$D$5)-INDEX(Balanço!$C$8:$G$8,$D$5)-INDEX(DRE!$D$11:$H$11,$D$5)</f>
        <v/>
      </c>
      <c r="H12" s="30">
        <f>ROUND(F12-G12,6)</f>
        <v/>
      </c>
      <c r="I12" s="31">
        <f>IF(ABS(H12)&lt;0.01,"Ligada","Quebrada")</f>
        <v/>
      </c>
      <c r="J12" s="28" t="inlineStr">
        <is>
          <t>Comprar máquina tira caixa, mas não passa pela DRE: vira ativo.</t>
        </is>
      </c>
    </row>
    <row r="13" ht="30" customHeight="1">
      <c r="B13" s="26" t="n">
        <v>6</v>
      </c>
      <c r="C13" s="27" t="inlineStr">
        <is>
          <t>Contas a receber consome caixa</t>
        </is>
      </c>
      <c r="D13" s="28" t="inlineStr">
        <is>
          <t>Balanço · Contas a receber</t>
        </is>
      </c>
      <c r="E13" s="28" t="inlineStr">
        <is>
          <t>Fluxo de Caixa · (−) Contas a receber</t>
        </is>
      </c>
      <c r="F13" s="29">
        <f>-(INDEX(Balanço!$D$7:$H$7,$D$5)-INDEX(Balanço!$C$7:$G$7,$D$5))</f>
        <v/>
      </c>
      <c r="G13" s="29">
        <f>INDEX('Fluxo de Caixa'!$D$8:$H$8,$D$5)</f>
        <v/>
      </c>
      <c r="H13" s="30">
        <f>ROUND(F13-G13,6)</f>
        <v/>
      </c>
      <c r="I13" s="31">
        <f>IF(ABS(H13)&lt;0.01,"Ligada","Quebrada")</f>
        <v/>
      </c>
      <c r="J13" s="28" t="inlineStr">
        <is>
          <t>Venda a prazo entra no lucro, mas o dinheiro ainda está com o cliente.</t>
        </is>
      </c>
    </row>
    <row r="14" ht="30" customHeight="1">
      <c r="B14" s="26" t="n">
        <v>7</v>
      </c>
      <c r="C14" s="27" t="inlineStr">
        <is>
          <t>Fornecedores seguram caixa</t>
        </is>
      </c>
      <c r="D14" s="28" t="inlineStr">
        <is>
          <t>Balanço · Fornecedores</t>
        </is>
      </c>
      <c r="E14" s="28" t="inlineStr">
        <is>
          <t>Fluxo de Caixa · (+) Fornecedores</t>
        </is>
      </c>
      <c r="F14" s="29">
        <f>INDEX(Balanço!$D$12:$H$12,$D$5)-INDEX(Balanço!$C$12:$G$12,$D$5)</f>
        <v/>
      </c>
      <c r="G14" s="29">
        <f>INDEX('Fluxo de Caixa'!$D$9:$H$9,$D$5)</f>
        <v/>
      </c>
      <c r="H14" s="30">
        <f>ROUND(F14-G14,6)</f>
        <v/>
      </c>
      <c r="I14" s="31">
        <f>IF(ABS(H14)&lt;0.01,"Ligada","Quebrada")</f>
        <v/>
      </c>
      <c r="J14" s="28" t="inlineStr">
        <is>
          <t>Comprar a prazo entra no custo, mas o dinheiro só sai depois.</t>
        </is>
      </c>
    </row>
    <row r="15" ht="30" customHeight="1">
      <c r="B15" s="26" t="n">
        <v>8</v>
      </c>
      <c r="C15" s="27" t="inlineStr">
        <is>
          <t>O caixa final fecha o Balanço</t>
        </is>
      </c>
      <c r="D15" s="28" t="inlineStr">
        <is>
          <t>Fluxo de Caixa · Caixa final</t>
        </is>
      </c>
      <c r="E15" s="28" t="inlineStr">
        <is>
          <t>Balanço · Caixa</t>
        </is>
      </c>
      <c r="F15" s="29">
        <f>INDEX('Fluxo de Caixa'!$D$14:$H$14,$D$5)</f>
        <v/>
      </c>
      <c r="G15" s="29">
        <f>INDEX(Balanço!$D$6:$H$6,$D$5)</f>
        <v/>
      </c>
      <c r="H15" s="30">
        <f>ROUND(F15-G15,6)</f>
        <v/>
      </c>
      <c r="I15" s="31">
        <f>IF(ABS(H15)&lt;0.01,"Ligada","Quebrada")</f>
        <v/>
      </c>
      <c r="J15" s="28" t="inlineStr">
        <is>
          <t>É a última ligação: com ela, Ativo = Passivo + PL.</t>
        </is>
      </c>
    </row>
    <row r="17">
      <c r="C17" s="3" t="inlineStr">
        <is>
          <t>Ligações funcionando</t>
        </is>
      </c>
      <c r="D17" s="3">
        <f>COUNTIF(I8:I15,"Ligada")&amp;" de 8"</f>
        <v/>
      </c>
    </row>
    <row r="18">
      <c r="C18" s="2" t="inlineStr">
        <is>
          <t>Para ver uma ligação quebrar, faça o exercício 5 da aba Exercícios.</t>
        </is>
      </c>
    </row>
  </sheetData>
  <conditionalFormatting sqref="I8:I15">
    <cfRule type="expression" priority="1" dxfId="0">
      <formula>I8="Ligada"</formula>
    </cfRule>
    <cfRule type="expression" priority="2" dxfId="1">
      <formula>I8="Quebrada"</formula>
    </cfRule>
  </conditionalFormatting>
  <dataValidations count="1">
    <dataValidation sqref="D5" showDropDown="0" showInputMessage="0" showErrorMessage="1" allowBlank="0" errorTitle="Ano inválido" error="Digite um ano de 1 a 5." type="whole" operator="between">
      <formula1>1</formula1>
      <formula2>5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5803D"/>
    <outlinePr summaryBelow="1" summaryRight="1"/>
    <pageSetUpPr/>
  </sheetPr>
  <dimension ref="B2:H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Checagem</t>
        </is>
      </c>
    </row>
    <row r="3">
      <c r="B3" s="2" t="inlineStr">
        <is>
          <t>Tudo zero = o modelo fecha. Qualquer número diferente de zero aponta uma ligação quebrada.</t>
        </is>
      </c>
    </row>
    <row r="5">
      <c r="B5" s="17" t="n"/>
      <c r="C5" s="18" t="inlineStr">
        <is>
          <t>Ano 0</t>
        </is>
      </c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Ativo − (Passivo + PL)</t>
        </is>
      </c>
      <c r="C6" s="19">
        <f>Balanço!C16</f>
        <v/>
      </c>
      <c r="D6" s="19">
        <f>Balanço!D16</f>
        <v/>
      </c>
      <c r="E6" s="19">
        <f>Balanço!E16</f>
        <v/>
      </c>
      <c r="F6" s="19">
        <f>Balanço!F16</f>
        <v/>
      </c>
      <c r="G6" s="19">
        <f>Balanço!G16</f>
        <v/>
      </c>
      <c r="H6" s="19">
        <f>Balanço!H16</f>
        <v/>
      </c>
    </row>
    <row r="7">
      <c r="B7" s="8" t="inlineStr">
        <is>
          <t>Caixa do Fluxo de Caixa − Caixa do Balanço</t>
        </is>
      </c>
      <c r="D7" s="22">
        <f>ROUND('Fluxo de Caixa'!D14-Balanço!D6,6)</f>
        <v/>
      </c>
      <c r="E7" s="22">
        <f>ROUND('Fluxo de Caixa'!E14-Balanço!E6,6)</f>
        <v/>
      </c>
      <c r="F7" s="22">
        <f>ROUND('Fluxo de Caixa'!F14-Balanço!F6,6)</f>
        <v/>
      </c>
      <c r="G7" s="22">
        <f>ROUND('Fluxo de Caixa'!G14-Balanço!G6,6)</f>
        <v/>
      </c>
      <c r="H7" s="22">
        <f>ROUND('Fluxo de Caixa'!H14-Balanço!H6,6)</f>
        <v/>
      </c>
    </row>
    <row r="8">
      <c r="B8" s="8" t="inlineStr">
        <is>
          <t>Lucro da DRE − aumento do PL</t>
        </is>
      </c>
      <c r="D8" s="22">
        <f>ROUND(DRE!D14-(Balanço!D13-Balanço!C13),6)</f>
        <v/>
      </c>
      <c r="E8" s="22">
        <f>ROUND(DRE!E14-(Balanço!E13-Balanço!D13),6)</f>
        <v/>
      </c>
      <c r="F8" s="22">
        <f>ROUND(DRE!F14-(Balanço!F13-Balanço!E13),6)</f>
        <v/>
      </c>
      <c r="G8" s="22">
        <f>ROUND(DRE!G14-(Balanço!G13-Balanço!F13),6)</f>
        <v/>
      </c>
      <c r="H8" s="22">
        <f>ROUND(DRE!H14-(Balanço!H13-Balanço!G13),6)</f>
        <v/>
      </c>
    </row>
    <row r="9">
      <c r="B9" s="4" t="inlineStr">
        <is>
          <t>Situação</t>
        </is>
      </c>
      <c r="C9" s="32">
        <f>IF(AND(ABS(C6)&lt;0.01,ABS(N(C7))&lt;0.01,ABS(N(C8))&lt;0.01),"Fecha","Não fecha")</f>
        <v/>
      </c>
      <c r="D9" s="32">
        <f>IF(AND(ABS(D6)&lt;0.01,ABS(N(D7))&lt;0.01,ABS(N(D8))&lt;0.01),"Fecha","Não fecha")</f>
        <v/>
      </c>
      <c r="E9" s="32">
        <f>IF(AND(ABS(E6)&lt;0.01,ABS(N(E7))&lt;0.01,ABS(N(E8))&lt;0.01),"Fecha","Não fecha")</f>
        <v/>
      </c>
      <c r="F9" s="32">
        <f>IF(AND(ABS(F6)&lt;0.01,ABS(N(F7))&lt;0.01,ABS(N(F8))&lt;0.01),"Fecha","Não fecha")</f>
        <v/>
      </c>
      <c r="G9" s="32">
        <f>IF(AND(ABS(G6)&lt;0.01,ABS(N(G7))&lt;0.01,ABS(N(G8))&lt;0.01),"Fecha","Não fecha")</f>
        <v/>
      </c>
      <c r="H9" s="32">
        <f>IF(AND(ABS(H6)&lt;0.01,ABS(N(H7))&lt;0.01,ABS(N(H8))&lt;0.01),"Fecha","Não fecha")</f>
        <v/>
      </c>
    </row>
    <row r="11">
      <c r="B11" s="3" t="inlineStr">
        <is>
          <t>Resultado do modelo</t>
        </is>
      </c>
      <c r="C11" s="33">
        <f>IF(COUNTIF(C9:H9,"Fecha")=6,"✓ O modelo fecha nos 5 anos","✗ Há uma ligação quebrada")</f>
        <v/>
      </c>
    </row>
  </sheetData>
  <mergeCells count="1">
    <mergeCell ref="C11:H11"/>
  </mergeCells>
  <conditionalFormatting sqref="C9:H9">
    <cfRule type="expression" priority="1" dxfId="0">
      <formula>LEFT(C9,1)="F"</formula>
    </cfRule>
    <cfRule type="expression" priority="2" dxfId="1">
      <formula>LEFT(C9,1)="N"</formula>
    </cfRule>
  </conditionalFormatting>
  <conditionalFormatting sqref="C11:H11">
    <cfRule type="expression" priority="3" dxfId="0">
      <formula>LEFT($C$11,1)="✓"</formula>
    </cfRule>
    <cfRule type="expression" priority="4" dxfId="1">
      <formula>LEFT($C$11,1)="✗"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70D24"/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2">
      <c r="B2" s="1" t="inlineStr">
        <is>
          <t>Lucro x Caixa</t>
        </is>
      </c>
    </row>
    <row r="3">
      <c r="B3" s="2" t="inlineStr">
        <is>
          <t>R$ mil. Por que o caixa das operações não é igual ao lucro, ano a ano.</t>
        </is>
      </c>
    </row>
    <row r="5">
      <c r="B5" s="17" t="n"/>
      <c r="D5" s="18" t="inlineStr">
        <is>
          <t>Ano 1</t>
        </is>
      </c>
      <c r="E5" s="18" t="inlineStr">
        <is>
          <t>Ano 2</t>
        </is>
      </c>
      <c r="F5" s="18" t="inlineStr">
        <is>
          <t>Ano 3</t>
        </is>
      </c>
      <c r="G5" s="18" t="inlineStr">
        <is>
          <t>Ano 4</t>
        </is>
      </c>
      <c r="H5" s="18" t="inlineStr">
        <is>
          <t>Ano 5</t>
        </is>
      </c>
    </row>
    <row r="6">
      <c r="B6" s="8" t="inlineStr">
        <is>
          <t>Lucro líquido</t>
        </is>
      </c>
      <c r="D6" s="19">
        <f>DRE!D14</f>
        <v/>
      </c>
      <c r="E6" s="19">
        <f>DRE!E14</f>
        <v/>
      </c>
      <c r="F6" s="19">
        <f>DRE!F14</f>
        <v/>
      </c>
      <c r="G6" s="19">
        <f>DRE!G14</f>
        <v/>
      </c>
      <c r="H6" s="19">
        <f>DRE!H14</f>
        <v/>
      </c>
    </row>
    <row r="7">
      <c r="B7" s="8" t="inlineStr">
        <is>
          <t>(+) Depreciação</t>
        </is>
      </c>
      <c r="D7" s="19">
        <f>'Fluxo de Caixa'!D7</f>
        <v/>
      </c>
      <c r="E7" s="19">
        <f>'Fluxo de Caixa'!E7</f>
        <v/>
      </c>
      <c r="F7" s="19">
        <f>'Fluxo de Caixa'!F7</f>
        <v/>
      </c>
      <c r="G7" s="19">
        <f>'Fluxo de Caixa'!G7</f>
        <v/>
      </c>
      <c r="H7" s="19">
        <f>'Fluxo de Caixa'!H7</f>
        <v/>
      </c>
    </row>
    <row r="8">
      <c r="B8" s="8" t="inlineStr">
        <is>
          <t>(−) Aumento de contas a receber</t>
        </is>
      </c>
      <c r="D8" s="19">
        <f>'Fluxo de Caixa'!D8</f>
        <v/>
      </c>
      <c r="E8" s="19">
        <f>'Fluxo de Caixa'!E8</f>
        <v/>
      </c>
      <c r="F8" s="19">
        <f>'Fluxo de Caixa'!F8</f>
        <v/>
      </c>
      <c r="G8" s="19">
        <f>'Fluxo de Caixa'!G8</f>
        <v/>
      </c>
      <c r="H8" s="19">
        <f>'Fluxo de Caixa'!H8</f>
        <v/>
      </c>
    </row>
    <row r="9">
      <c r="B9" s="8" t="inlineStr">
        <is>
          <t>(+) Aumento de fornecedores</t>
        </is>
      </c>
      <c r="D9" s="19">
        <f>'Fluxo de Caixa'!D9</f>
        <v/>
      </c>
      <c r="E9" s="19">
        <f>'Fluxo de Caixa'!E9</f>
        <v/>
      </c>
      <c r="F9" s="19">
        <f>'Fluxo de Caixa'!F9</f>
        <v/>
      </c>
      <c r="G9" s="19">
        <f>'Fluxo de Caixa'!G9</f>
        <v/>
      </c>
      <c r="H9" s="19">
        <f>'Fluxo de Caixa'!H9</f>
        <v/>
      </c>
    </row>
    <row r="10">
      <c r="B10" s="20" t="inlineStr">
        <is>
          <t>Caixa das operações</t>
        </is>
      </c>
      <c r="D10" s="21">
        <f>SUM(D6:D9)</f>
        <v/>
      </c>
      <c r="E10" s="21">
        <f>SUM(E6:E9)</f>
        <v/>
      </c>
      <c r="F10" s="21">
        <f>SUM(F6:F9)</f>
        <v/>
      </c>
      <c r="G10" s="21">
        <f>SUM(G6:G9)</f>
        <v/>
      </c>
      <c r="H10" s="21">
        <f>SUM(H6:H9)</f>
        <v/>
      </c>
    </row>
    <row r="11">
      <c r="B11" s="8" t="inlineStr">
        <is>
          <t>Diferença: caixa − lucro</t>
        </is>
      </c>
      <c r="D11" s="22">
        <f>D10-D6</f>
        <v/>
      </c>
      <c r="E11" s="22">
        <f>E10-E6</f>
        <v/>
      </c>
      <c r="F11" s="22">
        <f>F10-F6</f>
        <v/>
      </c>
      <c r="G11" s="22">
        <f>G10-G6</f>
        <v/>
      </c>
      <c r="H11" s="22">
        <f>H10-H6</f>
        <v/>
      </c>
    </row>
    <row r="12">
      <c r="B12" s="8" t="inlineStr">
        <is>
          <t>Conversão do lucro em caixa</t>
        </is>
      </c>
      <c r="D12" s="34">
        <f>IF(D6=0,0,D10/D6)</f>
        <v/>
      </c>
      <c r="E12" s="34">
        <f>IF(E6=0,0,E10/E6)</f>
        <v/>
      </c>
      <c r="F12" s="34">
        <f>IF(F6=0,0,F10/F6)</f>
        <v/>
      </c>
      <c r="G12" s="34">
        <f>IF(G6=0,0,G10/G6)</f>
        <v/>
      </c>
      <c r="H12" s="34">
        <f>IF(H6=0,0,H10/H6)</f>
        <v/>
      </c>
    </row>
    <row r="14">
      <c r="B14" s="17" t="inlineStr">
        <is>
          <t>Indicadores</t>
        </is>
      </c>
      <c r="D14" s="18" t="inlineStr">
        <is>
          <t>Ano 1</t>
        </is>
      </c>
      <c r="E14" s="18" t="inlineStr">
        <is>
          <t>Ano 2</t>
        </is>
      </c>
      <c r="F14" s="18" t="inlineStr">
        <is>
          <t>Ano 3</t>
        </is>
      </c>
      <c r="G14" s="18" t="inlineStr">
        <is>
          <t>Ano 4</t>
        </is>
      </c>
      <c r="H14" s="18" t="inlineStr">
        <is>
          <t>Ano 5</t>
        </is>
      </c>
    </row>
    <row r="15">
      <c r="B15" s="8" t="inlineStr">
        <is>
          <t>Margem EBITDA</t>
        </is>
      </c>
      <c r="D15" s="34">
        <f>IF(DRE!D6=0,0,DRE!D10/DRE!D6)</f>
        <v/>
      </c>
      <c r="E15" s="34">
        <f>IF(DRE!E6=0,0,DRE!E10/DRE!E6)</f>
        <v/>
      </c>
      <c r="F15" s="34">
        <f>IF(DRE!F6=0,0,DRE!F10/DRE!F6)</f>
        <v/>
      </c>
      <c r="G15" s="34">
        <f>IF(DRE!G6=0,0,DRE!G10/DRE!G6)</f>
        <v/>
      </c>
      <c r="H15" s="34">
        <f>IF(DRE!H6=0,0,DRE!H10/DRE!H6)</f>
        <v/>
      </c>
    </row>
    <row r="16">
      <c r="B16" s="8" t="inlineStr">
        <is>
          <t>Margem líquida</t>
        </is>
      </c>
      <c r="D16" s="34">
        <f>IF(DRE!D6=0,0,DRE!D14/DRE!D6)</f>
        <v/>
      </c>
      <c r="E16" s="34">
        <f>IF(DRE!E6=0,0,DRE!E14/DRE!E6)</f>
        <v/>
      </c>
      <c r="F16" s="34">
        <f>IF(DRE!F6=0,0,DRE!F14/DRE!F6)</f>
        <v/>
      </c>
      <c r="G16" s="34">
        <f>IF(DRE!G6=0,0,DRE!G14/DRE!G6)</f>
        <v/>
      </c>
      <c r="H16" s="34">
        <f>IF(DRE!H6=0,0,DRE!H14/DRE!H6)</f>
        <v/>
      </c>
    </row>
    <row r="17">
      <c r="B17" s="8" t="inlineStr">
        <is>
          <t>Prazo médio de recebimento</t>
        </is>
      </c>
      <c r="D17" s="35">
        <f>IF(DRE!D6=0,0,Balanço!D7/DRE!D6*360)</f>
        <v/>
      </c>
      <c r="E17" s="35">
        <f>IF(DRE!E6=0,0,Balanço!E7/DRE!E6*360)</f>
        <v/>
      </c>
      <c r="F17" s="35">
        <f>IF(DRE!F6=0,0,Balanço!F7/DRE!F6*360)</f>
        <v/>
      </c>
      <c r="G17" s="35">
        <f>IF(DRE!G6=0,0,Balanço!G7/DRE!G6*360)</f>
        <v/>
      </c>
      <c r="H17" s="35">
        <f>IF(DRE!H6=0,0,Balanço!H7/DRE!H6*360)</f>
        <v/>
      </c>
    </row>
    <row r="18">
      <c r="B18" s="8" t="inlineStr">
        <is>
          <t>Prazo médio de pagamento</t>
        </is>
      </c>
      <c r="D18" s="35">
        <f>IF(DRE!D7=0,0,Balanço!D12/-DRE!D7*360)</f>
        <v/>
      </c>
      <c r="E18" s="35">
        <f>IF(DRE!E7=0,0,Balanço!E12/-DRE!E7*360)</f>
        <v/>
      </c>
      <c r="F18" s="35">
        <f>IF(DRE!F7=0,0,Balanço!F12/-DRE!F7*360)</f>
        <v/>
      </c>
      <c r="G18" s="35">
        <f>IF(DRE!G7=0,0,Balanço!G12/-DRE!G7*360)</f>
        <v/>
      </c>
      <c r="H18" s="35">
        <f>IF(DRE!H7=0,0,Balanço!H12/-DRE!H7*360)</f>
        <v/>
      </c>
    </row>
    <row r="19">
      <c r="B19" s="8" t="inlineStr">
        <is>
          <t>Caixa no fim do ano</t>
        </is>
      </c>
      <c r="D19" s="19">
        <f>Balanço!D6</f>
        <v/>
      </c>
      <c r="E19" s="19">
        <f>Balanço!E6</f>
        <v/>
      </c>
      <c r="F19" s="19">
        <f>Balanço!F6</f>
        <v/>
      </c>
      <c r="G19" s="19">
        <f>Balanço!G6</f>
        <v/>
      </c>
      <c r="H19" s="19">
        <f>Balanço!H6</f>
        <v/>
      </c>
    </row>
    <row r="20">
      <c r="B20" s="2" t="inlineStr">
        <is>
          <t>Conversão acima de 100%: a operação gera mais caixa do que lucro. Abaixo: o lucro está preso no capital de giro.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/>
  </sheetPr>
  <dimension ref="B2:H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30" customWidth="1" min="3" max="3"/>
    <col width="46" customWidth="1" min="4" max="4"/>
    <col width="52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Exercícios: teste as ligações</t>
        </is>
      </c>
    </row>
    <row r="3">
      <c r="B3" s="2" t="inlineStr">
        <is>
          <t>Faça um de cada vez e volte o valor original antes do próximo. Os números à direita mudam na hora.</t>
        </is>
      </c>
    </row>
    <row r="5" ht="30" customHeight="1">
      <c r="B5" s="36" t="inlineStr">
        <is>
          <t>#</t>
        </is>
      </c>
      <c r="C5" s="36" t="inlineStr">
        <is>
          <t>Experimento</t>
        </is>
      </c>
      <c r="D5" s="36" t="inlineStr">
        <is>
          <t>O que fazer</t>
        </is>
      </c>
      <c r="E5" s="36" t="inlineStr">
        <is>
          <t>O que observar</t>
        </is>
      </c>
      <c r="F5" s="37" t="inlineStr">
        <is>
          <t>Lucro ano 1</t>
        </is>
      </c>
      <c r="G5" s="37" t="inlineStr">
        <is>
          <t>Caixa operações ano 1</t>
        </is>
      </c>
      <c r="H5" s="37" t="inlineStr">
        <is>
          <t>Caixa final ano 5</t>
        </is>
      </c>
    </row>
    <row r="6" ht="48" customHeight="1">
      <c r="B6" s="38" t="n">
        <v>1</v>
      </c>
      <c r="C6" s="39" t="inlineStr">
        <is>
          <t>Lucro não é caixa</t>
        </is>
      </c>
      <c r="D6" s="40" t="inlineStr">
        <is>
          <t>Na aba Premissas, mude o prazo de recebimento de 30 para 120 dias.</t>
        </is>
      </c>
      <c r="E6" s="41" t="inlineStr">
        <is>
          <t>O lucro não muda. O caixa das operações cai: um terço das vendas do ano fica com o cliente.</t>
        </is>
      </c>
      <c r="F6" s="42">
        <f>DRE!D14</f>
        <v/>
      </c>
      <c r="G6" s="42">
        <f>'Fluxo de Caixa'!D10</f>
        <v/>
      </c>
      <c r="H6" s="42">
        <f>Balanço!H6</f>
        <v/>
      </c>
    </row>
    <row r="7" ht="48" customHeight="1">
      <c r="B7" s="38" t="n">
        <v>2</v>
      </c>
      <c r="C7" s="39" t="inlineStr">
        <is>
          <t>O fornecedor também financia</t>
        </is>
      </c>
      <c r="D7" s="40" t="inlineStr">
        <is>
          <t>Mude o prazo de pagamento aos fornecedores de 30 para 60 dias.</t>
        </is>
      </c>
      <c r="E7" s="41" t="inlineStr">
        <is>
          <t>O caixa sobe sem o lucro mudar: você vende antes de pagar.</t>
        </is>
      </c>
      <c r="F7" s="42">
        <f>DRE!D14</f>
        <v/>
      </c>
      <c r="G7" s="42">
        <f>'Fluxo de Caixa'!D10</f>
        <v/>
      </c>
      <c r="H7" s="42">
        <f>Balanço!H6</f>
        <v/>
      </c>
    </row>
    <row r="8" ht="48" customHeight="1">
      <c r="B8" s="38" t="n">
        <v>3</v>
      </c>
      <c r="C8" s="39" t="inlineStr">
        <is>
          <t>Depreciação e imposto</t>
        </is>
      </c>
      <c r="D8" s="40" t="inlineStr">
        <is>
          <t>Mude a depreciação de 50 para 0.</t>
        </is>
      </c>
      <c r="E8" s="41" t="inlineStr">
        <is>
          <t>O lucro sobe, mas o caixa cai. Sem a depreciação, o lucro tributável aumenta e você paga mais IR.</t>
        </is>
      </c>
      <c r="F8" s="42">
        <f>DRE!D14</f>
        <v/>
      </c>
      <c r="G8" s="42">
        <f>'Fluxo de Caixa'!D10</f>
        <v/>
      </c>
      <c r="H8" s="42">
        <f>Balanço!H6</f>
        <v/>
      </c>
    </row>
    <row r="9" ht="48" customHeight="1">
      <c r="B9" s="38" t="n">
        <v>4</v>
      </c>
      <c r="C9" s="39" t="inlineStr">
        <is>
          <t>Investimento não passa pela DRE</t>
        </is>
      </c>
      <c r="D9" s="40" t="inlineStr">
        <is>
          <t>Mude o investimento por ano (capex) de 60 para 200.</t>
        </is>
      </c>
      <c r="E9" s="41" t="inlineStr">
        <is>
          <t>O lucro fica igual. O caixa final cai 140 por ano e o imobilizado cresce no Balanço.</t>
        </is>
      </c>
      <c r="F9" s="42">
        <f>DRE!D14</f>
        <v/>
      </c>
      <c r="G9" s="42">
        <f>'Fluxo de Caixa'!D10</f>
        <v/>
      </c>
      <c r="H9" s="42">
        <f>Balanço!H6</f>
        <v/>
      </c>
    </row>
    <row r="10" ht="48" customHeight="1">
      <c r="B10" s="38" t="n">
        <v>5</v>
      </c>
      <c r="C10" s="39" t="inlineStr">
        <is>
          <t>Quebre uma ligação</t>
        </is>
      </c>
      <c r="D10" s="40" t="inlineStr">
        <is>
          <t>Na aba Balanço, célula D13, apague o trecho +DRE!D14 da fórmula. Depois desfaça com Ctrl+Z.</t>
        </is>
      </c>
      <c r="E10" s="41" t="inlineStr">
        <is>
          <t>A aba Checagem mostra diferença igual ao lucro e a aba Ligações marca a ligação 2 como Quebrada.</t>
        </is>
      </c>
      <c r="F10" s="42">
        <f>DRE!D14</f>
        <v/>
      </c>
      <c r="G10" s="42">
        <f>'Fluxo de Caixa'!D10</f>
        <v/>
      </c>
      <c r="H10" s="42">
        <f>Balanço!H6</f>
        <v/>
      </c>
    </row>
    <row r="12">
      <c r="C12" s="4" t="inlineStr">
        <is>
          <t>Valores originais</t>
        </is>
      </c>
      <c r="D12" s="2" t="inlineStr">
        <is>
          <t>Prazo de clientes 30 · Prazo de fornecedores 30 · Depreciação 50 · Capex 60</t>
        </is>
      </c>
    </row>
    <row r="13">
      <c r="C13" s="4" t="inlineStr">
        <is>
          <t>Resultado do modelo agora</t>
        </is>
      </c>
      <c r="D13" s="4">
        <f>Checagem!C11</f>
        <v/>
      </c>
    </row>
  </sheetData>
  <conditionalFormatting sqref="D13">
    <cfRule type="expression" priority="1" dxfId="0">
      <formula>LEFT($D$13,1)="✓"</formula>
    </cfRule>
    <cfRule type="expression" priority="2" dxfId="1">
      <formula>LEFT($D$13,1)="✗"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100" customWidth="1" min="3" max="3"/>
  </cols>
  <sheetData>
    <row r="2">
      <c r="B2" s="1" t="inlineStr">
        <is>
          <t>Curso Fundamentos da Modelagem Financeira</t>
        </is>
      </c>
    </row>
    <row r="3">
      <c r="B3" s="2" t="inlineStr">
        <is>
          <t>Você viu as ligações funcionando nesta planilha. No curso, você monta esse modelo do zero, sabendo de onde vem cada número.</t>
        </is>
      </c>
    </row>
    <row r="5">
      <c r="B5" s="3" t="inlineStr">
        <is>
          <t>Para quem trava em ligar os três demonstrativos</t>
        </is>
      </c>
    </row>
    <row r="6">
      <c r="B6" s="6" t="inlineStr">
        <is>
          <t>•</t>
        </is>
      </c>
      <c r="C6" s="5" t="inlineStr">
        <is>
          <t>O Balanço não fecha e você passa horas caçando a diferença entre ativo e passivo.</t>
        </is>
      </c>
    </row>
    <row r="7">
      <c r="B7" s="6" t="inlineStr">
        <is>
          <t>•</t>
        </is>
      </c>
      <c r="C7" s="5" t="inlineStr">
        <is>
          <t>A empresa lucrou no ano, faltou dinheiro no banco e você não consegue explicar o porquê.</t>
        </is>
      </c>
    </row>
    <row r="8">
      <c r="B8" s="6" t="inlineStr">
        <is>
          <t>•</t>
        </is>
      </c>
      <c r="C8" s="5" t="inlineStr">
        <is>
          <t>Você começou um curso longo, parou na metade e continua sem ligar os demonstrativos.</t>
        </is>
      </c>
    </row>
    <row r="10">
      <c r="B10" s="3" t="inlineStr">
        <is>
          <t>O que você monta, aula por aula</t>
        </is>
      </c>
    </row>
    <row r="11">
      <c r="B11" s="4" t="inlineStr">
        <is>
          <t>1</t>
        </is>
      </c>
      <c r="C11" s="5" t="inlineStr">
        <is>
          <t>A lógica central do modelo. Você sai com o mapa de como as abas se ligam.</t>
        </is>
      </c>
    </row>
    <row r="12">
      <c r="B12" s="4" t="inlineStr">
        <is>
          <t>2</t>
        </is>
      </c>
      <c r="C12" s="5" t="inlineStr">
        <is>
          <t>DRE: a estrutura do resultado. Você sai com a DRE montada no modelo.</t>
        </is>
      </c>
    </row>
    <row r="13">
      <c r="B13" s="4" t="inlineStr">
        <is>
          <t>3</t>
        </is>
      </c>
      <c r="C13" s="5" t="inlineStr">
        <is>
          <t>Balanço: a fotografia. Você sai com o Balanço estruturado.</t>
        </is>
      </c>
    </row>
    <row r="14">
      <c r="B14" s="4" t="inlineStr">
        <is>
          <t>4</t>
        </is>
      </c>
      <c r="C14" s="5" t="inlineStr">
        <is>
          <t>DFC: do lucro ao caixa. Você sai com o Fluxo de Caixa pelo método indireto.</t>
        </is>
      </c>
    </row>
    <row r="15">
      <c r="B15" s="4" t="inlineStr">
        <is>
          <t>5</t>
        </is>
      </c>
      <c r="C15" s="5" t="inlineStr">
        <is>
          <t>Capital de giro. Você sai com o capital de giro ligado ao caixa.</t>
        </is>
      </c>
    </row>
    <row r="16">
      <c r="B16" s="4" t="inlineStr">
        <is>
          <t>6</t>
        </is>
      </c>
      <c r="C16" s="5" t="inlineStr">
        <is>
          <t>As conexões que integram tudo. Você sai com os três demonstrativos conectados.</t>
        </is>
      </c>
    </row>
    <row r="17">
      <c r="B17" s="4" t="inlineStr">
        <is>
          <t>7</t>
        </is>
      </c>
      <c r="C17" s="5" t="inlineStr">
        <is>
          <t>Montagem e validação. Você sai com um modelo que fecha, com checagem automática.</t>
        </is>
      </c>
    </row>
    <row r="19">
      <c r="B19" s="3" t="inlineStr">
        <is>
          <t>O que está incluído</t>
        </is>
      </c>
    </row>
    <row r="20">
      <c r="B20" s="43" t="inlineStr">
        <is>
          <t>✓</t>
        </is>
      </c>
      <c r="C20" s="5" t="inlineStr">
        <is>
          <t>Módulo das 3 demonstrações conectadas</t>
        </is>
      </c>
    </row>
    <row r="21">
      <c r="B21" s="43" t="inlineStr">
        <is>
          <t>✓</t>
        </is>
      </c>
      <c r="C21" s="5" t="inlineStr">
        <is>
          <t>Módulos complementares com novas aulas</t>
        </is>
      </c>
    </row>
    <row r="22">
      <c r="B22" s="43" t="inlineStr">
        <is>
          <t>✓</t>
        </is>
      </c>
      <c r="C22" s="5" t="inlineStr">
        <is>
          <t>Template do modelo integrado em Excel</t>
        </is>
      </c>
    </row>
    <row r="23">
      <c r="B23" s="43" t="inlineStr">
        <is>
          <t>✓</t>
        </is>
      </c>
      <c r="C23" s="5" t="inlineStr">
        <is>
          <t>Bônus: Template Pro (vendido por R$ 97)</t>
        </is>
      </c>
    </row>
    <row r="24">
      <c r="B24" s="43" t="inlineStr">
        <is>
          <t>✓</t>
        </is>
      </c>
      <c r="C24" s="5" t="inlineStr">
        <is>
          <t>Bônus: Starter Kit Financeiro (vendido por R$ 67,90)</t>
        </is>
      </c>
    </row>
    <row r="25">
      <c r="B25" s="43" t="inlineStr">
        <is>
          <t>✓</t>
        </is>
      </c>
      <c r="C25" s="5" t="inlineStr">
        <is>
          <t>Bônus: Planilha de prompts de IA</t>
        </is>
      </c>
    </row>
    <row r="26">
      <c r="B26" s="43" t="inlineStr">
        <is>
          <t>✓</t>
        </is>
      </c>
      <c r="C26" s="5" t="inlineStr">
        <is>
          <t>Certificado de conclusão</t>
        </is>
      </c>
    </row>
    <row r="27">
      <c r="B27" s="43" t="inlineStr">
        <is>
          <t>✓</t>
        </is>
      </c>
      <c r="C27" s="5" t="inlineStr">
        <is>
          <t>Acesso vitalício</t>
        </is>
      </c>
    </row>
    <row r="29">
      <c r="B29" s="3" t="inlineStr">
        <is>
          <t>Investimento</t>
        </is>
      </c>
    </row>
    <row r="30">
      <c r="C30" s="44" t="inlineStr">
        <is>
          <t>12x de R$ 19,67 no cartão, ou R$ 197 à vista</t>
        </is>
      </c>
    </row>
    <row r="31">
      <c r="C31" s="5" t="inlineStr">
        <is>
          <t>Garantia de 7 dias: se não for para você, peça o reembolso na Hotmart e receba 100% de volta.</t>
        </is>
      </c>
    </row>
    <row r="32">
      <c r="C32" s="13" t="inlineStr">
        <is>
          <t>Pré-requisito: noção do que são DRE, Balanço e Fluxo de Caixa, e Excel básico.</t>
        </is>
      </c>
    </row>
    <row r="34" ht="30" customHeight="1">
      <c r="C34" s="45" t="inlineStr">
        <is>
          <t>Ver a página do curso →</t>
        </is>
      </c>
    </row>
    <row r="35">
      <c r="C35" s="13" t="inlineStr">
        <is>
          <t>https://www.mfnapratica.com.br/fundamentos?utm_source=planilha-gratuita&amp;utm_medium=isca&amp;utm_campaign=modelo-integrado&amp;utm_content=aba-curso</t>
        </is>
      </c>
    </row>
    <row r="37" ht="30" customHeight="1">
      <c r="C37" s="45" t="inlineStr">
        <is>
          <t>Comprar agora →</t>
        </is>
      </c>
    </row>
    <row r="38">
      <c r="C38" s="13" t="inlineStr">
        <is>
          <t>https://pay.hotmart.com/F106435738T?src=planilha-gratuita</t>
        </is>
      </c>
    </row>
  </sheetData>
  <hyperlinks>
    <hyperlink xmlns:r="http://schemas.openxmlformats.org/officeDocument/2006/relationships" ref="C34" r:id="rId1"/>
    <hyperlink xmlns:r="http://schemas.openxmlformats.org/officeDocument/2006/relationships" ref="C37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2026-10-05T02:51:18Z</dcterms:created>
  <dcterms:modified xsi:type="dcterms:W3CDTF">2026-10-05T02:51:18Z</dcterms:modified>
</cp:coreProperties>
</file>