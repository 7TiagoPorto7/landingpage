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ce aqui" sheetId="1" state="visible" r:id="rId1"/>
    <sheet name="Premissas" sheetId="2" state="visible" r:id="rId2"/>
    <sheet name="DRE" sheetId="3" state="visible" r:id="rId3"/>
    <sheet name="Balanço" sheetId="4" state="visible" r:id="rId4"/>
    <sheet name="Fluxo de Caixa" sheetId="5" state="visible" r:id="rId5"/>
    <sheet name="Checage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6">
    <font>
      <name val="Calibri"/>
      <family val="2"/>
      <color theme="1"/>
      <sz val="11"/>
      <scheme val="minor"/>
    </font>
    <font>
      <name val="Calibri"/>
      <b val="1"/>
      <color rgb="00070D24"/>
      <sz val="18"/>
    </font>
    <font>
      <name val="Calibri"/>
      <i val="1"/>
      <color rgb="00475569"/>
      <sz val="10"/>
    </font>
    <font>
      <name val="Calibri"/>
      <b val="1"/>
      <color rgb="00070D24"/>
      <sz val="13"/>
    </font>
    <font>
      <name val="Calibri"/>
      <b val="1"/>
      <color rgb="00070D24"/>
      <sz val="11"/>
    </font>
    <font>
      <name val="Calibri"/>
      <color rgb="000F172A"/>
      <sz val="11"/>
    </font>
    <font>
      <name val="Calibri"/>
      <color rgb="001D4ED8"/>
      <sz val="13"/>
    </font>
    <font>
      <name val="Calibri"/>
      <color rgb="00000000"/>
      <sz val="13"/>
    </font>
    <font>
      <name val="Calibri"/>
      <color rgb="0015803D"/>
      <sz val="13"/>
    </font>
    <font>
      <name val="Calibri"/>
      <b val="1"/>
      <color rgb="00B45309"/>
      <sz val="12"/>
      <u val="single"/>
    </font>
    <font>
      <name val="Calibri"/>
      <b val="1"/>
      <color rgb="00070D24"/>
      <sz val="12"/>
    </font>
    <font>
      <name val="Calibri"/>
      <color rgb="001D4ED8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15803D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070D24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70D24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4" fontId="11" fillId="2" borderId="1" pivotButton="0" quotePrefix="0" xfId="0"/>
    <xf numFmtId="9" fontId="11" fillId="2" borderId="1" pivotButton="0" quotePrefix="0" xfId="0"/>
    <xf numFmtId="1" fontId="11" fillId="2" borderId="1" pivotButton="0" quotePrefix="0" xfId="0"/>
    <xf numFmtId="0" fontId="12" fillId="3" borderId="0" pivotButton="0" quotePrefix="0" xfId="0"/>
    <xf numFmtId="0" fontId="12" fillId="3" borderId="0" applyAlignment="1" pivotButton="0" quotePrefix="0" xfId="0">
      <alignment horizontal="right"/>
    </xf>
    <xf numFmtId="164" fontId="14" fillId="0" borderId="0" pivotButton="0" quotePrefix="0" xfId="0"/>
    <xf numFmtId="164" fontId="13" fillId="0" borderId="0" pivotButton="0" quotePrefix="0" xfId="0"/>
    <xf numFmtId="0" fontId="4" fillId="4" borderId="2" pivotButton="0" quotePrefix="0" xfId="0"/>
    <xf numFmtId="0" fontId="0" fillId="4" borderId="2" pivotButton="0" quotePrefix="0" xfId="0"/>
    <xf numFmtId="164" fontId="15" fillId="4" borderId="2" pivotButton="0" quotePrefix="0" xfId="0"/>
    <xf numFmtId="164" fontId="15" fillId="0" borderId="0" pivotButton="0" quotePrefix="0" xfId="0"/>
    <xf numFmtId="0" fontId="0" fillId="3" borderId="0" pivotButton="0" quotePrefix="0" xfId="0"/>
    <xf numFmtId="49" fontId="15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15803D"/>
      </font>
      <fill>
        <patternFill patternType="solid">
          <fgColor rgb="00DCFCE7"/>
        </patternFill>
      </fill>
    </dxf>
    <dxf>
      <font>
        <b val="1"/>
        <color rgb="00B91C1C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fnapratica.com.br/fundamentos?utm_source=planilha-gratuita&amp;utm_medium=isca&amp;utm_campaign=modelo-integrado" TargetMode="External" Id="rId1" 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95" customWidth="1" min="3" max="3"/>
  </cols>
  <sheetData>
    <row r="2">
      <c r="B2" s="1" t="inlineStr">
        <is>
          <t>Modelo integrado simplificado: DRE, Balanço e Fluxo de Caixa</t>
        </is>
      </c>
    </row>
    <row r="3">
      <c r="B3" s="2" t="inlineStr">
        <is>
          <t>Mude as premissas e veja os três demonstrativos se moverem juntos. Se o Balanço não fechar, a aba Checagem avisa.</t>
        </is>
      </c>
    </row>
    <row r="6">
      <c r="B6" s="3" t="inlineStr">
        <is>
          <t>Como usar</t>
        </is>
      </c>
    </row>
    <row r="7">
      <c r="B7" s="4" t="inlineStr">
        <is>
          <t>1</t>
        </is>
      </c>
      <c r="C7" s="5" t="inlineStr">
        <is>
          <t>Vá na aba Premissas e mude só as células azuis (receita, crescimento, custos, prazos...).</t>
        </is>
      </c>
    </row>
    <row r="8">
      <c r="B8" s="4" t="inlineStr">
        <is>
          <t>2</t>
        </is>
      </c>
      <c r="C8" s="5" t="inlineStr">
        <is>
          <t>Acompanhe a DRE, o Balanço e o Fluxo de Caixa. Nenhuma outra célula precisa ser digitada.</t>
        </is>
      </c>
    </row>
    <row r="9">
      <c r="B9" s="4" t="inlineStr">
        <is>
          <t>3</t>
        </is>
      </c>
      <c r="C9" s="5" t="inlineStr">
        <is>
          <t>Confira a aba Checagem: a diferença do Balanço tem que ser zero em todos os anos.</t>
        </is>
      </c>
    </row>
    <row r="11">
      <c r="B11" s="3" t="inlineStr">
        <is>
          <t>Cores das células</t>
        </is>
      </c>
    </row>
    <row r="12">
      <c r="B12" s="6" t="inlineStr">
        <is>
          <t>■</t>
        </is>
      </c>
      <c r="C12" s="5" t="inlineStr">
        <is>
          <t>Azul: premissa. É o único lugar onde você digita.</t>
        </is>
      </c>
    </row>
    <row r="13">
      <c r="B13" s="7" t="inlineStr">
        <is>
          <t>■</t>
        </is>
      </c>
      <c r="C13" s="5" t="inlineStr">
        <is>
          <t>Preto: fórmula calculada na própria aba.</t>
        </is>
      </c>
    </row>
    <row r="14">
      <c r="B14" s="8" t="inlineStr">
        <is>
          <t>■</t>
        </is>
      </c>
      <c r="C14" s="5" t="inlineStr">
        <is>
          <t>Verde: número que vem de outra aba. É aqui que os demonstrativos se conectam.</t>
        </is>
      </c>
    </row>
    <row r="16">
      <c r="B16" s="3" t="inlineStr">
        <is>
          <t>O que este modelo deixa de fora, de propósito</t>
        </is>
      </c>
    </row>
    <row r="17">
      <c r="B17" s="4" t="inlineStr">
        <is>
          <t>•</t>
        </is>
      </c>
      <c r="C17" s="5" t="inlineStr">
        <is>
          <t>Dívida e juros (e o efeito deles no caixa e no lucro)</t>
        </is>
      </c>
    </row>
    <row r="18">
      <c r="B18" s="4" t="inlineStr">
        <is>
          <t>•</t>
        </is>
      </c>
      <c r="C18" s="5" t="inlineStr">
        <is>
          <t>Dividendos e distribuição de lucro</t>
        </is>
      </c>
    </row>
    <row r="19">
      <c r="B19" s="4" t="inlineStr">
        <is>
          <t>•</t>
        </is>
      </c>
      <c r="C19" s="5" t="inlineStr">
        <is>
          <t>Estoques e o ciclo de caixa completo</t>
        </is>
      </c>
    </row>
    <row r="20">
      <c r="B20" s="4" t="inlineStr">
        <is>
          <t>•</t>
        </is>
      </c>
      <c r="C20" s="5" t="inlineStr">
        <is>
          <t>Cenários e análise de sensibilidade</t>
        </is>
      </c>
    </row>
    <row r="21">
      <c r="B21" s="4" t="inlineStr"/>
      <c r="C21" s="5" t="inlineStr">
        <is>
          <t>No curso Fundamentos da Modelagem Financeira você adiciona cada uma dessas peças sem quebrar o modelo.</t>
        </is>
      </c>
    </row>
    <row r="23">
      <c r="C23" s="9" t="inlineStr">
        <is>
          <t>Conheça o curso Fundamentos da Modelagem Financeira →</t>
        </is>
      </c>
    </row>
    <row r="25">
      <c r="C25" s="2" t="inlineStr">
        <is>
          <t>Valores em R$ mil. Empresa-exemplo, sem dívida, para focar na ligação entre os demonstrativos.</t>
        </is>
      </c>
    </row>
    <row r="26">
      <c r="C26" s="2" t="inlineStr">
        <is>
          <t>Modelagem Financeira na Prática · mfnapratica.com.br</t>
        </is>
      </c>
    </row>
  </sheetData>
  <hyperlinks>
    <hyperlink xmlns:r="http://schemas.openxmlformats.org/officeDocument/2006/relationships" ref="C2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40" customWidth="1" min="4" max="4"/>
  </cols>
  <sheetData>
    <row r="2">
      <c r="B2" s="1" t="inlineStr">
        <is>
          <t>Premissas</t>
        </is>
      </c>
    </row>
    <row r="3">
      <c r="B3" s="2" t="inlineStr">
        <is>
          <t>Mude só as células azuis. Valores em R$ mil.</t>
        </is>
      </c>
    </row>
    <row r="6">
      <c r="B6" s="10" t="inlineStr">
        <is>
          <t>Operação</t>
        </is>
      </c>
    </row>
    <row r="7">
      <c r="B7" s="5" t="inlineStr">
        <is>
          <t>Receita no ano 1</t>
        </is>
      </c>
      <c r="C7" s="11" t="n">
        <v>1000</v>
      </c>
      <c r="D7" s="2" t="inlineStr">
        <is>
          <t>Faturamento líquido do primeiro ano</t>
        </is>
      </c>
    </row>
    <row r="8">
      <c r="B8" s="5" t="inlineStr">
        <is>
          <t>Crescimento da receita por ano</t>
        </is>
      </c>
      <c r="C8" s="12" t="n">
        <v>0.1</v>
      </c>
      <c r="D8" s="2" t="inlineStr">
        <is>
          <t>Aplicado nos anos 2 e 3</t>
        </is>
      </c>
    </row>
    <row r="9">
      <c r="B9" s="5" t="inlineStr">
        <is>
          <t>Custos (% da receita)</t>
        </is>
      </c>
      <c r="C9" s="12" t="n">
        <v>0.6</v>
      </c>
      <c r="D9" s="2" t="inlineStr">
        <is>
          <t>Custo dos produtos ou serviços vendidos</t>
        </is>
      </c>
    </row>
    <row r="10">
      <c r="B10" s="5" t="inlineStr">
        <is>
          <t>Despesas (% da receita)</t>
        </is>
      </c>
      <c r="C10" s="12" t="n">
        <v>0.2</v>
      </c>
      <c r="D10" s="2" t="inlineStr">
        <is>
          <t>Vendas, gerais e administrativas</t>
        </is>
      </c>
    </row>
    <row r="11">
      <c r="B11" s="5" t="inlineStr">
        <is>
          <t>Depreciação por ano</t>
        </is>
      </c>
      <c r="C11" s="11" t="n">
        <v>50</v>
      </c>
      <c r="D11" s="2" t="inlineStr">
        <is>
          <t>Reduz o lucro, mas não sai do caixa</t>
        </is>
      </c>
    </row>
    <row r="12">
      <c r="B12" s="5" t="inlineStr">
        <is>
          <t>Investimento por ano (capex)</t>
        </is>
      </c>
      <c r="C12" s="11" t="n">
        <v>60</v>
      </c>
      <c r="D12" s="2" t="inlineStr">
        <is>
          <t>Compra de máquinas e equipamentos</t>
        </is>
      </c>
    </row>
    <row r="13">
      <c r="B13" s="5" t="inlineStr">
        <is>
          <t>Alíquota de IR</t>
        </is>
      </c>
      <c r="C13" s="12" t="n">
        <v>0.3</v>
      </c>
      <c r="D13" s="2" t="inlineStr">
        <is>
          <t>Sobre o lucro antes do imposto</t>
        </is>
      </c>
    </row>
    <row r="15">
      <c r="B15" s="10" t="inlineStr">
        <is>
          <t>Capital de giro</t>
        </is>
      </c>
    </row>
    <row r="16">
      <c r="B16" s="5" t="inlineStr">
        <is>
          <t>Prazo de recebimento dos clientes (dias)</t>
        </is>
      </c>
      <c r="C16" s="13" t="n">
        <v>30</v>
      </c>
      <c r="D16" s="2" t="inlineStr">
        <is>
          <t>Vendas que ainda não viraram caixa</t>
        </is>
      </c>
    </row>
    <row r="17">
      <c r="B17" s="5" t="inlineStr">
        <is>
          <t>Prazo de pagamento aos fornecedores (dias)</t>
        </is>
      </c>
      <c r="C17" s="13" t="n">
        <v>30</v>
      </c>
      <c r="D17" s="2" t="inlineStr">
        <is>
          <t>Custos que ainda não saíram do caixa</t>
        </is>
      </c>
    </row>
    <row r="19">
      <c r="B19" s="10" t="inlineStr">
        <is>
          <t>Saldos iniciais (Balanço do ano 0)</t>
        </is>
      </c>
    </row>
    <row r="20">
      <c r="B20" s="5" t="inlineStr">
        <is>
          <t>Caixa</t>
        </is>
      </c>
      <c r="C20" s="11" t="n">
        <v>100</v>
      </c>
      <c r="D20" s="2" t="inlineStr"/>
    </row>
    <row r="21">
      <c r="B21" s="5" t="inlineStr">
        <is>
          <t>Imobilizado</t>
        </is>
      </c>
      <c r="C21" s="11" t="n">
        <v>500</v>
      </c>
      <c r="D21" s="2" t="inlineStr"/>
    </row>
    <row r="22">
      <c r="B22" s="5" t="inlineStr">
        <is>
          <t>Patrimônio líquido</t>
        </is>
      </c>
      <c r="C22" s="11" t="n">
        <v>600</v>
      </c>
      <c r="D22" s="2" t="inlineStr">
        <is>
          <t>Ativo = Passivo + PL já no ano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70D24"/>
    <outlinePr summaryBelow="1" summaryRight="1"/>
    <pageSetUpPr/>
  </sheetPr>
  <dimension ref="B2:F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2">
      <c r="B2" s="1" t="inlineStr">
        <is>
          <t>DRE (Demonstração do Resultado)</t>
        </is>
      </c>
    </row>
    <row r="3">
      <c r="B3" s="2" t="inlineStr">
        <is>
          <t>R$ mil. O lucro líquido vai para o Patrimônio líquido (Balanço) e para o Fluxo de Caixa.</t>
        </is>
      </c>
    </row>
    <row r="5">
      <c r="B5" s="14" t="inlineStr"/>
      <c r="C5" s="15" t="inlineStr">
        <is>
          <t>Ano 0</t>
        </is>
      </c>
      <c r="D5" s="15" t="inlineStr">
        <is>
          <t>Ano 1</t>
        </is>
      </c>
      <c r="E5" s="15" t="inlineStr">
        <is>
          <t>Ano 2</t>
        </is>
      </c>
      <c r="F5" s="15" t="inlineStr">
        <is>
          <t>Ano 3</t>
        </is>
      </c>
    </row>
    <row r="6">
      <c r="B6" s="5" t="inlineStr">
        <is>
          <t>Receita líquida</t>
        </is>
      </c>
      <c r="D6" s="16">
        <f>Premissas!$C$7</f>
        <v/>
      </c>
      <c r="E6" s="17">
        <f>D6*(1+Premissas!$C$8)</f>
        <v/>
      </c>
      <c r="F6" s="17">
        <f>E6*(1+Premissas!$C$8)</f>
        <v/>
      </c>
    </row>
    <row r="7">
      <c r="B7" s="5" t="inlineStr">
        <is>
          <t>(−) Custos</t>
        </is>
      </c>
      <c r="D7" s="17">
        <f>-D6*Premissas!$C$9</f>
        <v/>
      </c>
      <c r="E7" s="17">
        <f>-E6*Premissas!$C$9</f>
        <v/>
      </c>
      <c r="F7" s="17">
        <f>-F6*Premissas!$C$9</f>
        <v/>
      </c>
    </row>
    <row r="8">
      <c r="B8" s="18" t="inlineStr">
        <is>
          <t>Lucro bruto</t>
        </is>
      </c>
      <c r="C8" s="19" t="n"/>
      <c r="D8" s="20">
        <f>D6+D7</f>
        <v/>
      </c>
      <c r="E8" s="20">
        <f>E6+E7</f>
        <v/>
      </c>
      <c r="F8" s="20">
        <f>F6+F7</f>
        <v/>
      </c>
    </row>
    <row r="9">
      <c r="B9" s="5" t="inlineStr">
        <is>
          <t>(−) Despesas</t>
        </is>
      </c>
      <c r="D9" s="17">
        <f>-D6*Premissas!$C$10</f>
        <v/>
      </c>
      <c r="E9" s="17">
        <f>-E6*Premissas!$C$10</f>
        <v/>
      </c>
      <c r="F9" s="17">
        <f>-F6*Premissas!$C$10</f>
        <v/>
      </c>
    </row>
    <row r="10">
      <c r="B10" s="18" t="inlineStr">
        <is>
          <t>EBITDA</t>
        </is>
      </c>
      <c r="C10" s="19" t="n"/>
      <c r="D10" s="20">
        <f>D8+D9</f>
        <v/>
      </c>
      <c r="E10" s="20">
        <f>E8+E9</f>
        <v/>
      </c>
      <c r="F10" s="20">
        <f>F8+F9</f>
        <v/>
      </c>
    </row>
    <row r="11">
      <c r="B11" s="5" t="inlineStr">
        <is>
          <t>(−) Depreciação</t>
        </is>
      </c>
      <c r="D11" s="17">
        <f>-Premissas!$C$11</f>
        <v/>
      </c>
      <c r="E11" s="17">
        <f>-Premissas!$C$11</f>
        <v/>
      </c>
      <c r="F11" s="17">
        <f>-Premissas!$C$11</f>
        <v/>
      </c>
    </row>
    <row r="12">
      <c r="B12" s="18" t="inlineStr">
        <is>
          <t>EBIT (lucro operacional)</t>
        </is>
      </c>
      <c r="C12" s="19" t="n"/>
      <c r="D12" s="20">
        <f>D10+D11</f>
        <v/>
      </c>
      <c r="E12" s="20">
        <f>E10+E11</f>
        <v/>
      </c>
      <c r="F12" s="20">
        <f>F10+F11</f>
        <v/>
      </c>
    </row>
    <row r="13">
      <c r="B13" s="5" t="inlineStr">
        <is>
          <t>(−) IR</t>
        </is>
      </c>
      <c r="D13" s="17">
        <f>-MAX(0,D12)*Premissas!$C$13</f>
        <v/>
      </c>
      <c r="E13" s="17">
        <f>-MAX(0,E12)*Premissas!$C$13</f>
        <v/>
      </c>
      <c r="F13" s="17">
        <f>-MAX(0,F12)*Premissas!$C$13</f>
        <v/>
      </c>
    </row>
    <row r="14">
      <c r="B14" s="18" t="inlineStr">
        <is>
          <t>Lucro líquido</t>
        </is>
      </c>
      <c r="C14" s="19" t="n"/>
      <c r="D14" s="20">
        <f>D12+D13</f>
        <v/>
      </c>
      <c r="E14" s="20">
        <f>E12+E13</f>
        <v/>
      </c>
      <c r="F14" s="20">
        <f>F12+F13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70D24"/>
    <outlinePr summaryBelow="1" summaryRight="1"/>
    <pageSetUpPr/>
  </sheetPr>
  <dimension ref="B2:F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2">
      <c r="B2" s="1" t="inlineStr">
        <is>
          <t>Balanço Patrimonial</t>
        </is>
      </c>
    </row>
    <row r="3">
      <c r="B3" s="2" t="inlineStr">
        <is>
          <t>R$ mil. O caixa vem do Fluxo de Caixa; o patrimônio soma o lucro da DRE.</t>
        </is>
      </c>
    </row>
    <row r="5">
      <c r="B5" s="14" t="inlineStr">
        <is>
          <t>Ativo</t>
        </is>
      </c>
      <c r="C5" s="15" t="inlineStr">
        <is>
          <t>Ano 0</t>
        </is>
      </c>
      <c r="D5" s="15" t="inlineStr">
        <is>
          <t>Ano 1</t>
        </is>
      </c>
      <c r="E5" s="15" t="inlineStr">
        <is>
          <t>Ano 2</t>
        </is>
      </c>
      <c r="F5" s="15" t="inlineStr">
        <is>
          <t>Ano 3</t>
        </is>
      </c>
    </row>
    <row r="6">
      <c r="B6" s="5" t="inlineStr">
        <is>
          <t>Caixa</t>
        </is>
      </c>
      <c r="C6" s="17">
        <f>Premissas!$C$20</f>
        <v/>
      </c>
      <c r="D6" s="16">
        <f>'Fluxo de Caixa'!D14</f>
        <v/>
      </c>
      <c r="E6" s="16">
        <f>'Fluxo de Caixa'!E14</f>
        <v/>
      </c>
      <c r="F6" s="16">
        <f>'Fluxo de Caixa'!F14</f>
        <v/>
      </c>
    </row>
    <row r="7">
      <c r="B7" s="5" t="inlineStr">
        <is>
          <t>Contas a receber</t>
        </is>
      </c>
      <c r="C7" s="17" t="n">
        <v>0</v>
      </c>
      <c r="D7" s="17">
        <f>DRE!D6*Premissas!$C$16/360</f>
        <v/>
      </c>
      <c r="E7" s="17">
        <f>DRE!E6*Premissas!$C$16/360</f>
        <v/>
      </c>
      <c r="F7" s="17">
        <f>DRE!F6*Premissas!$C$16/360</f>
        <v/>
      </c>
    </row>
    <row r="8">
      <c r="B8" s="5" t="inlineStr">
        <is>
          <t>Imobilizado</t>
        </is>
      </c>
      <c r="C8" s="17">
        <f>Premissas!$C$21</f>
        <v/>
      </c>
      <c r="D8" s="17">
        <f>C8+Premissas!$C$12-Premissas!$C$11</f>
        <v/>
      </c>
      <c r="E8" s="17">
        <f>D8+Premissas!$C$12-Premissas!$C$11</f>
        <v/>
      </c>
      <c r="F8" s="17">
        <f>E8+Premissas!$C$12-Premissas!$C$11</f>
        <v/>
      </c>
    </row>
    <row r="9">
      <c r="B9" s="18" t="inlineStr">
        <is>
          <t>Ativo total</t>
        </is>
      </c>
      <c r="C9" s="20">
        <f>SUM(C6:C8)</f>
        <v/>
      </c>
      <c r="D9" s="20">
        <f>SUM(D6:D8)</f>
        <v/>
      </c>
      <c r="E9" s="20">
        <f>SUM(E6:E8)</f>
        <v/>
      </c>
      <c r="F9" s="20">
        <f>SUM(F6:F8)</f>
        <v/>
      </c>
    </row>
    <row r="11">
      <c r="B11" s="14" t="inlineStr">
        <is>
          <t>Passivo e patrimônio líquido</t>
        </is>
      </c>
      <c r="C11" s="15" t="inlineStr">
        <is>
          <t>Ano 0</t>
        </is>
      </c>
      <c r="D11" s="15" t="inlineStr">
        <is>
          <t>Ano 1</t>
        </is>
      </c>
      <c r="E11" s="15" t="inlineStr">
        <is>
          <t>Ano 2</t>
        </is>
      </c>
      <c r="F11" s="15" t="inlineStr">
        <is>
          <t>Ano 3</t>
        </is>
      </c>
    </row>
    <row r="12">
      <c r="B12" s="5" t="inlineStr">
        <is>
          <t>Fornecedores</t>
        </is>
      </c>
      <c r="C12" s="17" t="n">
        <v>0</v>
      </c>
      <c r="D12" s="17">
        <f>-DRE!D7*Premissas!$C$17/360</f>
        <v/>
      </c>
      <c r="E12" s="17">
        <f>-DRE!E7*Premissas!$C$17/360</f>
        <v/>
      </c>
      <c r="F12" s="17">
        <f>-DRE!F7*Premissas!$C$17/360</f>
        <v/>
      </c>
    </row>
    <row r="13">
      <c r="B13" s="5" t="inlineStr">
        <is>
          <t>Patrimônio líquido</t>
        </is>
      </c>
      <c r="C13" s="17">
        <f>Premissas!$C$22</f>
        <v/>
      </c>
      <c r="D13" s="16">
        <f>C13+DRE!D14</f>
        <v/>
      </c>
      <c r="E13" s="16">
        <f>D13+DRE!E14</f>
        <v/>
      </c>
      <c r="F13" s="16">
        <f>E13+DRE!F14</f>
        <v/>
      </c>
    </row>
    <row r="14">
      <c r="B14" s="18" t="inlineStr">
        <is>
          <t>Passivo + PL</t>
        </is>
      </c>
      <c r="C14" s="20">
        <f>C12+C13</f>
        <v/>
      </c>
      <c r="D14" s="20">
        <f>D12+D13</f>
        <v/>
      </c>
      <c r="E14" s="20">
        <f>E12+E13</f>
        <v/>
      </c>
      <c r="F14" s="20">
        <f>F12+F13</f>
        <v/>
      </c>
    </row>
    <row r="16">
      <c r="B16" s="4" t="inlineStr">
        <is>
          <t>Checagem: Ativo − (Passivo + PL)</t>
        </is>
      </c>
      <c r="C16" s="21">
        <f>ROUND(C9-C14,6)</f>
        <v/>
      </c>
      <c r="D16" s="21">
        <f>ROUND(D9-D14,6)</f>
        <v/>
      </c>
      <c r="E16" s="21">
        <f>ROUND(E9-E14,6)</f>
        <v/>
      </c>
      <c r="F16" s="21">
        <f>ROUND(F9-F14,6)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70D24"/>
    <outlinePr summaryBelow="1" summaryRight="1"/>
    <pageSetUpPr/>
  </sheetPr>
  <dimension ref="B2:F1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2">
      <c r="B2" s="1" t="inlineStr">
        <is>
          <t>Fluxo de Caixa (método indireto)</t>
        </is>
      </c>
    </row>
    <row r="3">
      <c r="B3" s="2" t="inlineStr">
        <is>
          <t>R$ mil. Parte do lucro e explica por que o caixa não é igual ao lucro.</t>
        </is>
      </c>
    </row>
    <row r="5">
      <c r="B5" s="14" t="inlineStr"/>
      <c r="C5" s="22" t="n"/>
      <c r="D5" s="15" t="inlineStr">
        <is>
          <t>Ano 1</t>
        </is>
      </c>
      <c r="E5" s="15" t="inlineStr">
        <is>
          <t>Ano 2</t>
        </is>
      </c>
      <c r="F5" s="15" t="inlineStr">
        <is>
          <t>Ano 3</t>
        </is>
      </c>
    </row>
    <row r="6">
      <c r="B6" s="5" t="inlineStr">
        <is>
          <t>Lucro líquido</t>
        </is>
      </c>
      <c r="D6" s="16">
        <f>DRE!D14</f>
        <v/>
      </c>
      <c r="E6" s="16">
        <f>DRE!E14</f>
        <v/>
      </c>
      <c r="F6" s="16">
        <f>DRE!F14</f>
        <v/>
      </c>
    </row>
    <row r="7">
      <c r="B7" s="5" t="inlineStr">
        <is>
          <t>(+) Depreciação</t>
        </is>
      </c>
      <c r="D7" s="16">
        <f>-DRE!D11</f>
        <v/>
      </c>
      <c r="E7" s="16">
        <f>-DRE!E11</f>
        <v/>
      </c>
      <c r="F7" s="16">
        <f>-DRE!F11</f>
        <v/>
      </c>
    </row>
    <row r="8">
      <c r="B8" s="5" t="inlineStr">
        <is>
          <t>(−) Aumento de contas a receber</t>
        </is>
      </c>
      <c r="D8" s="16">
        <f>-(Balanço!D7-Balanço!C7)</f>
        <v/>
      </c>
      <c r="E8" s="16">
        <f>-(Balanço!E7-Balanço!D7)</f>
        <v/>
      </c>
      <c r="F8" s="16">
        <f>-(Balanço!F7-Balanço!E7)</f>
        <v/>
      </c>
    </row>
    <row r="9">
      <c r="B9" s="5" t="inlineStr">
        <is>
          <t>(+) Aumento de fornecedores</t>
        </is>
      </c>
      <c r="D9" s="16">
        <f>Balanço!D12-Balanço!C12</f>
        <v/>
      </c>
      <c r="E9" s="16">
        <f>Balanço!E12-Balanço!D12</f>
        <v/>
      </c>
      <c r="F9" s="16">
        <f>Balanço!F12-Balanço!E12</f>
        <v/>
      </c>
    </row>
    <row r="10">
      <c r="B10" s="18" t="inlineStr">
        <is>
          <t>Caixa das operações</t>
        </is>
      </c>
      <c r="C10" s="19" t="n"/>
      <c r="D10" s="20">
        <f>SUM(D6:D9)</f>
        <v/>
      </c>
      <c r="E10" s="20">
        <f>SUM(E6:E9)</f>
        <v/>
      </c>
      <c r="F10" s="20">
        <f>SUM(F6:F9)</f>
        <v/>
      </c>
    </row>
    <row r="11">
      <c r="B11" s="5" t="inlineStr">
        <is>
          <t>(−) Investimentos (capex)</t>
        </is>
      </c>
      <c r="D11" s="17">
        <f>-Premissas!$C$12</f>
        <v/>
      </c>
      <c r="E11" s="17">
        <f>-Premissas!$C$12</f>
        <v/>
      </c>
      <c r="F11" s="17">
        <f>-Premissas!$C$12</f>
        <v/>
      </c>
    </row>
    <row r="12">
      <c r="B12" s="18" t="inlineStr">
        <is>
          <t>Variação do caixa</t>
        </is>
      </c>
      <c r="C12" s="19" t="n"/>
      <c r="D12" s="20">
        <f>D10+D11</f>
        <v/>
      </c>
      <c r="E12" s="20">
        <f>E10+E11</f>
        <v/>
      </c>
      <c r="F12" s="20">
        <f>F10+F11</f>
        <v/>
      </c>
    </row>
    <row r="13">
      <c r="B13" s="5" t="inlineStr">
        <is>
          <t>Caixa inicial</t>
        </is>
      </c>
      <c r="D13" s="16">
        <f>Balanço!C6</f>
        <v/>
      </c>
      <c r="E13" s="16">
        <f>Balanço!D6</f>
        <v/>
      </c>
      <c r="F13" s="16">
        <f>Balanço!E6</f>
        <v/>
      </c>
    </row>
    <row r="14">
      <c r="B14" s="18" t="inlineStr">
        <is>
          <t>Caixa final</t>
        </is>
      </c>
      <c r="C14" s="19" t="n"/>
      <c r="D14" s="20">
        <f>D13+D12</f>
        <v/>
      </c>
      <c r="E14" s="20">
        <f>E13+E12</f>
        <v/>
      </c>
      <c r="F14" s="20">
        <f>F13+F12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803D"/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Checagem</t>
        </is>
      </c>
    </row>
    <row r="3">
      <c r="B3" s="2" t="inlineStr">
        <is>
          <t>Tudo zero = o modelo fecha. Qualquer número diferente de zero aponta uma ligação quebrada.</t>
        </is>
      </c>
    </row>
    <row r="5">
      <c r="B5" s="14" t="inlineStr"/>
      <c r="C5" s="15" t="inlineStr">
        <is>
          <t>Ano 0</t>
        </is>
      </c>
      <c r="D5" s="15" t="inlineStr">
        <is>
          <t>Ano 1</t>
        </is>
      </c>
      <c r="E5" s="15" t="inlineStr">
        <is>
          <t>Ano 2</t>
        </is>
      </c>
      <c r="F5" s="15" t="inlineStr">
        <is>
          <t>Ano 3</t>
        </is>
      </c>
    </row>
    <row r="6">
      <c r="B6" s="5" t="inlineStr">
        <is>
          <t>Ativo − (Passivo + PL)</t>
        </is>
      </c>
      <c r="C6" s="16">
        <f>Balanço!C16</f>
        <v/>
      </c>
      <c r="D6" s="16">
        <f>Balanço!D16</f>
        <v/>
      </c>
      <c r="E6" s="16">
        <f>Balanço!E16</f>
        <v/>
      </c>
      <c r="F6" s="16">
        <f>Balanço!F16</f>
        <v/>
      </c>
    </row>
    <row r="7">
      <c r="B7" s="5" t="inlineStr">
        <is>
          <t>Caixa do Fluxo de Caixa − Caixa do Balanço</t>
        </is>
      </c>
      <c r="D7" s="16">
        <f>ROUND('Fluxo de Caixa'!D14-Balanço!D6,6)</f>
        <v/>
      </c>
      <c r="E7" s="16">
        <f>ROUND('Fluxo de Caixa'!E14-Balanço!E6,6)</f>
        <v/>
      </c>
      <c r="F7" s="16">
        <f>ROUND('Fluxo de Caixa'!F14-Balanço!F6,6)</f>
        <v/>
      </c>
    </row>
    <row r="8">
      <c r="B8" s="4" t="inlineStr">
        <is>
          <t>Situação</t>
        </is>
      </c>
      <c r="C8" s="23">
        <f>IF(AND(ABS(C6)&lt;0.01,ABS(N(C7))&lt;0.01),"Fecha","Não fecha")</f>
        <v/>
      </c>
      <c r="D8" s="23">
        <f>IF(AND(ABS(D6)&lt;0.01,ABS(N(D7))&lt;0.01),"Fecha","Não fecha")</f>
        <v/>
      </c>
      <c r="E8" s="23">
        <f>IF(AND(ABS(E6)&lt;0.01,ABS(N(E7))&lt;0.01),"Fecha","Não fecha")</f>
        <v/>
      </c>
      <c r="F8" s="23">
        <f>IF(AND(ABS(F6)&lt;0.01,ABS(N(F7))&lt;0.01),"Fecha","Não fecha")</f>
        <v/>
      </c>
    </row>
    <row r="10" ht="28" customHeight="1">
      <c r="B10" s="3" t="inlineStr">
        <is>
          <t>Resultado do modelo</t>
        </is>
      </c>
      <c r="C10" s="24">
        <f>IF(COUNTIF(C8:F8,"Fecha")=4,"✓ O modelo fecha nos 3 anos","✗ Há uma ligação quebrada")</f>
        <v/>
      </c>
    </row>
  </sheetData>
  <mergeCells count="1">
    <mergeCell ref="C10:F10"/>
  </mergeCells>
  <conditionalFormatting sqref="C8:F8">
    <cfRule type="expression" priority="1" dxfId="0">
      <formula>LEFT(C8,1)="F"</formula>
    </cfRule>
    <cfRule type="expression" priority="2" dxfId="1">
      <formula>LEFT(C8,1)="N"</formula>
    </cfRule>
  </conditionalFormatting>
  <conditionalFormatting sqref="C10:F10">
    <cfRule type="expression" priority="3" dxfId="0">
      <formula>LEFT($C$10,1)="✓"</formula>
    </cfRule>
    <cfRule type="expression" priority="4" dxfId="1">
      <formula>LEFT($C$10,1)="✗"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2026-10-03T23:21:40Z</dcterms:created>
  <dcterms:modified xsi:type="dcterms:W3CDTF">2026-10-03T23:21:40Z</dcterms:modified>
</cp:coreProperties>
</file>